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V\"/>
    </mc:Choice>
  </mc:AlternateContent>
  <xr:revisionPtr revIDLastSave="0" documentId="8_{54174361-F99E-432E-90B3-F33D443F4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e" sheetId="1" r:id="rId1"/>
    <sheet name="Feuil2" sheetId="3" r:id="rId2"/>
    <sheet name="Autonome" sheetId="2" r:id="rId3"/>
  </sheets>
  <externalReferences>
    <externalReference r:id="rId4"/>
  </externalReferences>
  <definedNames>
    <definedName name="_xlnm._FilterDatabase" localSheetId="0" hidden="1">Liste!$A$1:$O$1</definedName>
    <definedName name="Agence">Autonome!$E$3:$E$5</definedName>
    <definedName name="Agences">Autonome!$E$3:$E$17</definedName>
    <definedName name="Qualifications">Autonome!$G$3:$G$8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" l="1" a="1"/>
  <c r="Q54" i="1" s="1"/>
  <c r="P54" i="1"/>
  <c r="N54" i="1"/>
  <c r="Q53" i="1" a="1"/>
  <c r="Q53" i="1" s="1"/>
  <c r="P53" i="1"/>
  <c r="N53" i="1"/>
  <c r="Q52" i="1" a="1"/>
  <c r="Q52" i="1" s="1"/>
  <c r="P52" i="1"/>
  <c r="N52" i="1"/>
  <c r="Q51" i="1" a="1"/>
  <c r="Q51" i="1" s="1"/>
  <c r="P51" i="1"/>
  <c r="N51" i="1"/>
  <c r="Q50" i="1" a="1"/>
  <c r="Q50" i="1" s="1"/>
  <c r="P50" i="1"/>
  <c r="N50" i="1"/>
  <c r="Q49" i="1" a="1"/>
  <c r="Q49" i="1" s="1"/>
  <c r="P49" i="1"/>
  <c r="N49" i="1"/>
  <c r="Q48" i="1" a="1"/>
  <c r="Q48" i="1" s="1"/>
  <c r="P48" i="1"/>
  <c r="N48" i="1"/>
  <c r="Q47" i="1" a="1"/>
  <c r="Q47" i="1" s="1"/>
  <c r="P47" i="1"/>
  <c r="N47" i="1"/>
  <c r="Q46" i="1" a="1"/>
  <c r="Q46" i="1" s="1"/>
  <c r="P46" i="1"/>
  <c r="N46" i="1"/>
  <c r="Q45" i="1" a="1"/>
  <c r="Q45" i="1" s="1"/>
  <c r="P45" i="1"/>
  <c r="N45" i="1"/>
  <c r="Q44" i="1" a="1"/>
  <c r="Q44" i="1" s="1"/>
  <c r="P44" i="1"/>
  <c r="N44" i="1"/>
  <c r="Q43" i="1" a="1"/>
  <c r="Q43" i="1" s="1"/>
  <c r="P43" i="1"/>
  <c r="N43" i="1"/>
  <c r="Q42" i="1" a="1"/>
  <c r="Q42" i="1" s="1"/>
  <c r="P42" i="1"/>
  <c r="N42" i="1"/>
  <c r="Q41" i="1" a="1"/>
  <c r="Q41" i="1" s="1"/>
  <c r="P41" i="1"/>
  <c r="N41" i="1"/>
  <c r="Q40" i="1" a="1"/>
  <c r="Q40" i="1" s="1"/>
  <c r="P40" i="1"/>
  <c r="N40" i="1"/>
  <c r="Q39" i="1" a="1"/>
  <c r="Q39" i="1" s="1"/>
  <c r="P39" i="1"/>
  <c r="N39" i="1"/>
  <c r="Q38" i="1" a="1"/>
  <c r="Q38" i="1" s="1"/>
  <c r="P38" i="1"/>
  <c r="N38" i="1"/>
  <c r="Q37" i="1" a="1"/>
  <c r="Q37" i="1" s="1"/>
  <c r="P37" i="1"/>
  <c r="N37" i="1"/>
  <c r="Q36" i="1" a="1"/>
  <c r="Q36" i="1" s="1"/>
  <c r="P36" i="1"/>
  <c r="N36" i="1"/>
  <c r="Q35" i="1" a="1"/>
  <c r="Q35" i="1" s="1"/>
  <c r="P35" i="1"/>
  <c r="N35" i="1"/>
  <c r="Q34" i="1" a="1"/>
  <c r="Q34" i="1" s="1"/>
  <c r="P34" i="1"/>
  <c r="N34" i="1"/>
  <c r="Q33" i="1" a="1"/>
  <c r="Q33" i="1" s="1"/>
  <c r="P33" i="1"/>
  <c r="N33" i="1"/>
  <c r="Q32" i="1" a="1"/>
  <c r="Q32" i="1" s="1"/>
  <c r="P32" i="1"/>
  <c r="N32" i="1"/>
  <c r="Q31" i="1" a="1"/>
  <c r="Q31" i="1" s="1"/>
  <c r="P31" i="1"/>
  <c r="N31" i="1"/>
  <c r="Q30" i="1" a="1"/>
  <c r="Q30" i="1" s="1"/>
  <c r="P30" i="1"/>
  <c r="N30" i="1"/>
  <c r="Q29" i="1" a="1"/>
  <c r="Q29" i="1" s="1"/>
  <c r="P29" i="1"/>
  <c r="N29" i="1"/>
  <c r="Q28" i="1" a="1"/>
  <c r="Q28" i="1" s="1"/>
  <c r="P28" i="1"/>
  <c r="N28" i="1"/>
  <c r="Q27" i="1" a="1"/>
  <c r="Q27" i="1" s="1"/>
  <c r="P27" i="1"/>
  <c r="N27" i="1"/>
  <c r="Q26" i="1" a="1"/>
  <c r="Q26" i="1" s="1"/>
  <c r="P26" i="1"/>
  <c r="N26" i="1"/>
  <c r="Q25" i="1" a="1"/>
  <c r="Q25" i="1" s="1"/>
  <c r="P25" i="1"/>
  <c r="N25" i="1"/>
  <c r="Q24" i="1" a="1"/>
  <c r="Q24" i="1" s="1"/>
  <c r="P24" i="1"/>
  <c r="N24" i="1"/>
  <c r="Q23" i="1" a="1"/>
  <c r="Q23" i="1" s="1"/>
  <c r="P23" i="1"/>
  <c r="N23" i="1"/>
  <c r="Q22" i="1" a="1"/>
  <c r="Q22" i="1" s="1"/>
  <c r="P22" i="1"/>
  <c r="N22" i="1"/>
  <c r="Q21" i="1" a="1"/>
  <c r="Q21" i="1" s="1"/>
  <c r="P21" i="1"/>
  <c r="N21" i="1"/>
  <c r="Q20" i="1" a="1"/>
  <c r="Q20" i="1" s="1"/>
  <c r="P20" i="1"/>
  <c r="N20" i="1"/>
  <c r="Q19" i="1" a="1"/>
  <c r="Q19" i="1" s="1"/>
  <c r="P19" i="1"/>
  <c r="N19" i="1"/>
  <c r="Q18" i="1" a="1"/>
  <c r="Q18" i="1" s="1"/>
  <c r="P18" i="1"/>
  <c r="N18" i="1"/>
  <c r="Q17" i="1" a="1"/>
  <c r="Q17" i="1" s="1"/>
  <c r="P17" i="1"/>
  <c r="N17" i="1"/>
  <c r="Q16" i="1" a="1"/>
  <c r="Q16" i="1" s="1"/>
  <c r="P16" i="1"/>
  <c r="N16" i="1"/>
  <c r="Q15" i="1" a="1"/>
  <c r="Q15" i="1" s="1"/>
  <c r="P15" i="1"/>
  <c r="N15" i="1"/>
  <c r="Q14" i="1" a="1"/>
  <c r="Q14" i="1" s="1"/>
  <c r="P14" i="1"/>
  <c r="N14" i="1"/>
  <c r="Q13" i="1" a="1"/>
  <c r="Q13" i="1" s="1"/>
  <c r="P13" i="1"/>
  <c r="N13" i="1"/>
  <c r="Q12" i="1" a="1"/>
  <c r="Q12" i="1" s="1"/>
  <c r="P12" i="1"/>
  <c r="N12" i="1"/>
  <c r="Q11" i="1" a="1"/>
  <c r="Q11" i="1" s="1"/>
  <c r="P11" i="1"/>
  <c r="N11" i="1"/>
  <c r="Q10" i="1" a="1"/>
  <c r="Q10" i="1" s="1"/>
  <c r="P10" i="1"/>
  <c r="N10" i="1"/>
  <c r="Q9" i="1" a="1"/>
  <c r="Q9" i="1" s="1"/>
  <c r="P9" i="1"/>
  <c r="N9" i="1"/>
  <c r="Q8" i="1" a="1"/>
  <c r="Q8" i="1" s="1"/>
  <c r="P8" i="1"/>
  <c r="N8" i="1"/>
  <c r="Q7" i="1" a="1"/>
  <c r="Q7" i="1" s="1"/>
  <c r="P7" i="1"/>
  <c r="N7" i="1"/>
  <c r="Q6" i="1" a="1"/>
  <c r="Q6" i="1" s="1"/>
  <c r="P6" i="1"/>
  <c r="N6" i="1"/>
  <c r="Q5" i="1" a="1"/>
  <c r="Q5" i="1" s="1"/>
  <c r="P5" i="1"/>
  <c r="N5" i="1"/>
  <c r="Q4" i="1" a="1"/>
  <c r="Q4" i="1" s="1"/>
  <c r="P4" i="1"/>
  <c r="N4" i="1"/>
  <c r="Q3" i="1" a="1"/>
  <c r="Q3" i="1" s="1"/>
  <c r="P3" i="1"/>
  <c r="N3" i="1"/>
  <c r="P2" i="1"/>
  <c r="N2" i="1"/>
  <c r="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<sst xmlns="http://schemas.openxmlformats.org/spreadsheetml/2006/main" count="1222" uniqueCount="792">
  <si>
    <t>ID</t>
  </si>
  <si>
    <t>Nom</t>
  </si>
  <si>
    <t>Email</t>
  </si>
  <si>
    <t>Agence</t>
  </si>
  <si>
    <t>Poste</t>
  </si>
  <si>
    <t>ManagerID</t>
  </si>
  <si>
    <t>Martin</t>
  </si>
  <si>
    <t>Thomas</t>
  </si>
  <si>
    <t>Bernard</t>
  </si>
  <si>
    <t>Alex</t>
  </si>
  <si>
    <t>Perpignan</t>
  </si>
  <si>
    <t>Thuir</t>
  </si>
  <si>
    <t>Cerdagne</t>
  </si>
  <si>
    <t>Julien</t>
  </si>
  <si>
    <t>Cédric</t>
  </si>
  <si>
    <t>Conducteur de travaux</t>
  </si>
  <si>
    <t>René-Marc</t>
  </si>
  <si>
    <t>Manuel</t>
  </si>
  <si>
    <t>Date d'aujourd'hui</t>
  </si>
  <si>
    <t>Matricule</t>
  </si>
  <si>
    <t>Prenom</t>
  </si>
  <si>
    <t>Qualification</t>
  </si>
  <si>
    <t>Localisation</t>
  </si>
  <si>
    <t>Telephone</t>
  </si>
  <si>
    <t>Date Naissance</t>
  </si>
  <si>
    <t>Age</t>
  </si>
  <si>
    <t>Date entrée groupe</t>
  </si>
  <si>
    <t>Anciennete</t>
  </si>
  <si>
    <t>011</t>
  </si>
  <si>
    <t>016</t>
  </si>
  <si>
    <t>Ouvrier</t>
  </si>
  <si>
    <t>Liste agence</t>
  </si>
  <si>
    <t>Claude</t>
  </si>
  <si>
    <t>ETAM</t>
  </si>
  <si>
    <t>Liste qualification</t>
  </si>
  <si>
    <t>Cadre</t>
  </si>
  <si>
    <t>AP ETAM</t>
  </si>
  <si>
    <t>AP Ouvrier</t>
  </si>
  <si>
    <t>Forfait</t>
  </si>
  <si>
    <t>149318</t>
  </si>
  <si>
    <t>111733</t>
  </si>
  <si>
    <t>261698</t>
  </si>
  <si>
    <t>220238</t>
  </si>
  <si>
    <t>115060</t>
  </si>
  <si>
    <t>071388</t>
  </si>
  <si>
    <t>084184</t>
  </si>
  <si>
    <t>258355</t>
  </si>
  <si>
    <t>042403</t>
  </si>
  <si>
    <t>024</t>
  </si>
  <si>
    <t>038</t>
  </si>
  <si>
    <t>043</t>
  </si>
  <si>
    <t>060</t>
  </si>
  <si>
    <t>078</t>
  </si>
  <si>
    <t>124</t>
  </si>
  <si>
    <t>144</t>
  </si>
  <si>
    <t>ALLOGNE  Michaël</t>
  </si>
  <si>
    <t>AMIEL  Sandrine</t>
  </si>
  <si>
    <t>ANDRIEU  Arnaud</t>
  </si>
  <si>
    <t>ARNOULD  Alexandre</t>
  </si>
  <si>
    <t>BAALI  Hafid</t>
  </si>
  <si>
    <t>BALET  Cristèle</t>
  </si>
  <si>
    <t>BANTOURE Elodie</t>
  </si>
  <si>
    <t>BARBERA  David</t>
  </si>
  <si>
    <t>BARJON  NOEL</t>
  </si>
  <si>
    <t>BATAILLE  Jean-Michel</t>
  </si>
  <si>
    <t>BATLLE  Pierre</t>
  </si>
  <si>
    <t>BELLANCE  Yannick</t>
  </si>
  <si>
    <t>BELLIL  Jordan</t>
  </si>
  <si>
    <t>BENET  Baptiste</t>
  </si>
  <si>
    <t>BERTELOOT  Jérôme</t>
  </si>
  <si>
    <t>BLANIC  Martin</t>
  </si>
  <si>
    <t>BLAZY  Gérard</t>
  </si>
  <si>
    <t>BLET  Bruno</t>
  </si>
  <si>
    <t>BLONDEAU  Corentin</t>
  </si>
  <si>
    <t>BLONDEL  Arnaud</t>
  </si>
  <si>
    <t>BORGOGNO  Florent</t>
  </si>
  <si>
    <t>BOUCHADEL  Eric</t>
  </si>
  <si>
    <t>BOUGAREL  Tristan</t>
  </si>
  <si>
    <t>BOURBAO  Olivier</t>
  </si>
  <si>
    <t>BOUTRUCHE  Christopher</t>
  </si>
  <si>
    <t>BOUZIDI  Samir</t>
  </si>
  <si>
    <t>BOYER  Cédric</t>
  </si>
  <si>
    <t>BRUNET  Laurent</t>
  </si>
  <si>
    <t>CABEZUDO  François</t>
  </si>
  <si>
    <t>CALVAS  Nathalie</t>
  </si>
  <si>
    <t>CARDON  Cyril</t>
  </si>
  <si>
    <t>CARDON  Kévin</t>
  </si>
  <si>
    <t>CARRERE  Jean-François</t>
  </si>
  <si>
    <t>CASTANYE Marion</t>
  </si>
  <si>
    <t>CAYRAC  Alex</t>
  </si>
  <si>
    <t>CHAMELOT  Thierry</t>
  </si>
  <si>
    <t>CHENARD  Kévin</t>
  </si>
  <si>
    <t>CHERGUI  Laïd</t>
  </si>
  <si>
    <t>CISSE  Saïdou</t>
  </si>
  <si>
    <t>CULEBRAS  Bastien</t>
  </si>
  <si>
    <t>CULEBRAS  Manuel</t>
  </si>
  <si>
    <t>DAHAS  Ahmed</t>
  </si>
  <si>
    <t>DAHAS  Mokadem</t>
  </si>
  <si>
    <t>DE JESUS SARABANDO GORDO  Marino Jose</t>
  </si>
  <si>
    <t>DE MENEGO  Teddy</t>
  </si>
  <si>
    <t>DEBZA  Nordine</t>
  </si>
  <si>
    <t>DEDREUX Gabriel</t>
  </si>
  <si>
    <t>DELANOY  Arnaud</t>
  </si>
  <si>
    <t>DELATRE Yann</t>
  </si>
  <si>
    <t>DIALLO Thierno Mamadou</t>
  </si>
  <si>
    <t>DISSARD  Thierry</t>
  </si>
  <si>
    <t>DISTEFANO  Alexandro</t>
  </si>
  <si>
    <t>DOMINGO  Elie</t>
  </si>
  <si>
    <t>DORISON  Patrick</t>
  </si>
  <si>
    <t>DUBOIS  Hervé</t>
  </si>
  <si>
    <t>DUFOUR  Enzo</t>
  </si>
  <si>
    <t>DUFOUR  Jérémie</t>
  </si>
  <si>
    <t>DUPERRON  Pierre</t>
  </si>
  <si>
    <t>DUTILLEUL  Hervé</t>
  </si>
  <si>
    <t>EL ASRI  ICHEM</t>
  </si>
  <si>
    <t>EMEDES  Julien</t>
  </si>
  <si>
    <t>ESPIE  Richard</t>
  </si>
  <si>
    <t>ESTEBAN  Loan</t>
  </si>
  <si>
    <t>ESTEVE  Eric</t>
  </si>
  <si>
    <t>FABRE  Aimé</t>
  </si>
  <si>
    <t>FAGEDET  Henri</t>
  </si>
  <si>
    <t>FAVINO LE CORRE  Youen</t>
  </si>
  <si>
    <t>FENAUX LENHARDT  Laurent</t>
  </si>
  <si>
    <t>FERNANDEZ  José Luis</t>
  </si>
  <si>
    <t>FERREIRA GOMES  Helder</t>
  </si>
  <si>
    <t>FIGUERAS  Patrick</t>
  </si>
  <si>
    <t>FODIL  Amar</t>
  </si>
  <si>
    <t>FOURNIS  Xavier</t>
  </si>
  <si>
    <t>FREDERIQUE Paola</t>
  </si>
  <si>
    <t>FRUCTUOSO  Jérome</t>
  </si>
  <si>
    <t>GALIBERT  Laurent</t>
  </si>
  <si>
    <t>GARCIA  Olivier</t>
  </si>
  <si>
    <t>GERENTON  Stéphane</t>
  </si>
  <si>
    <t>GERVAIS  Eric</t>
  </si>
  <si>
    <t>GOURMAUX  Hervé</t>
  </si>
  <si>
    <t>GRAELL  Pascal</t>
  </si>
  <si>
    <t>GUILLAMET  Jacques</t>
  </si>
  <si>
    <t>GUTIERREZ  Didier</t>
  </si>
  <si>
    <t>HADJOUTI  Houari</t>
  </si>
  <si>
    <t>HAMEL  Christophe</t>
  </si>
  <si>
    <t>HAROUNE  Abdallah</t>
  </si>
  <si>
    <t>HAROUNE  Karim</t>
  </si>
  <si>
    <t>HERNANDEZ Clément</t>
  </si>
  <si>
    <t>HITA  Christopher</t>
  </si>
  <si>
    <t>HOSTAILLE  Cédric</t>
  </si>
  <si>
    <t>HUMBERT  Eric</t>
  </si>
  <si>
    <t>HUSSAIN  Imdad</t>
  </si>
  <si>
    <t>JACQUET  Adrian</t>
  </si>
  <si>
    <t>JACQUET  Baptiste</t>
  </si>
  <si>
    <t>KHEDIMI  Ahmed</t>
  </si>
  <si>
    <t>KOSTRZEVA  Fabien</t>
  </si>
  <si>
    <t>LABAU  Pierre</t>
  </si>
  <si>
    <t>LAGNEAUX  Françoise</t>
  </si>
  <si>
    <t>LAGO  François</t>
  </si>
  <si>
    <t>LALLEMAND  Philippe</t>
  </si>
  <si>
    <t>LAMAISON  Tony</t>
  </si>
  <si>
    <t>LASALA Bastien</t>
  </si>
  <si>
    <t>LAVERGNE  Eric</t>
  </si>
  <si>
    <t>LE DOSSEUR  François</t>
  </si>
  <si>
    <t>LECOCQ  Sébastien</t>
  </si>
  <si>
    <t>LEGOUVERNEUR  Samuel</t>
  </si>
  <si>
    <t>LEMAIRE  David</t>
  </si>
  <si>
    <t>LEROY  Sébastien</t>
  </si>
  <si>
    <t>LESTEL  Alexandre</t>
  </si>
  <si>
    <t>LIZANO  Pierre</t>
  </si>
  <si>
    <t>LLINARES  Rodolphe</t>
  </si>
  <si>
    <t>LOSADA  NICOLAS</t>
  </si>
  <si>
    <t>LUNATY  Jean-Pierre</t>
  </si>
  <si>
    <t>MAIGRET-HAFIZOU  Sloan</t>
  </si>
  <si>
    <t>MARQUIER  Romain</t>
  </si>
  <si>
    <t>MARTINEZ  Emmanuel</t>
  </si>
  <si>
    <t>MARTINEZ  Florian</t>
  </si>
  <si>
    <t>MARTINEZ  Kévin</t>
  </si>
  <si>
    <t>MAS  Christophe</t>
  </si>
  <si>
    <t>MASO  Arnaud</t>
  </si>
  <si>
    <t>MASO BES  Tristan</t>
  </si>
  <si>
    <t>MATILDE  Eric</t>
  </si>
  <si>
    <t>MEGUENANE  Laïd</t>
  </si>
  <si>
    <t>MEGUENANE  Omar</t>
  </si>
  <si>
    <t>MEKKI DAOUADJI  Djamel</t>
  </si>
  <si>
    <t>MEKLATI  Ali</t>
  </si>
  <si>
    <t>MELLAL  Mohamed</t>
  </si>
  <si>
    <t>MELLAL Mohamed Emade</t>
  </si>
  <si>
    <t>MERASLI  Moussa</t>
  </si>
  <si>
    <t>MERASLI  Mustapha</t>
  </si>
  <si>
    <t>MERCIER  Loïc</t>
  </si>
  <si>
    <t>MESA  Valérie</t>
  </si>
  <si>
    <t>MESSABIH Nouredine</t>
  </si>
  <si>
    <t>MESTRE Manon</t>
  </si>
  <si>
    <t>MIFFRE  Bertrand</t>
  </si>
  <si>
    <t>MIRANDA DA SILVA  Belmiro Porfirio</t>
  </si>
  <si>
    <t>MOLLET  Olivier</t>
  </si>
  <si>
    <t>MONTGAILLARD  Lionel</t>
  </si>
  <si>
    <t>MORA  Franck</t>
  </si>
  <si>
    <t>MORALES  Nicolas</t>
  </si>
  <si>
    <t>MUNIENTE  Anthony</t>
  </si>
  <si>
    <t>MUNIENTE  René Marc</t>
  </si>
  <si>
    <t>MUNOZ  Sylvain</t>
  </si>
  <si>
    <t>NEGAD  Elhadj</t>
  </si>
  <si>
    <t>NEGAD Toufik</t>
  </si>
  <si>
    <t>NERDIG  Renaud</t>
  </si>
  <si>
    <t>NERDIG  Stéphane</t>
  </si>
  <si>
    <t>NOEL  Olivier</t>
  </si>
  <si>
    <t>NOGUER  Christophe</t>
  </si>
  <si>
    <t>NOLIN  Cédric</t>
  </si>
  <si>
    <t>O'HARE  David</t>
  </si>
  <si>
    <t>O'HARE Benjamin</t>
  </si>
  <si>
    <t>ORIOL  Michaël</t>
  </si>
  <si>
    <t>ORTIZ  Mattéo</t>
  </si>
  <si>
    <t>OUICI  Bouabdellah</t>
  </si>
  <si>
    <t>OUICI  Mokhtar</t>
  </si>
  <si>
    <t>PADE  Corentin</t>
  </si>
  <si>
    <t>PAGANE  Tony</t>
  </si>
  <si>
    <t>PALAU  Emmanuel</t>
  </si>
  <si>
    <t>PAULY  Tom</t>
  </si>
  <si>
    <t>PESQUE  Frédéric</t>
  </si>
  <si>
    <t>PETIT  Corentin</t>
  </si>
  <si>
    <t>PETITCOLIN  Florent</t>
  </si>
  <si>
    <t>PLANES  Christophe</t>
  </si>
  <si>
    <t>POQUET  Romain</t>
  </si>
  <si>
    <t>PORTES  Thomas</t>
  </si>
  <si>
    <t>PROSDOCIMI  Frédéric</t>
  </si>
  <si>
    <t>PUJOL  Thierry</t>
  </si>
  <si>
    <t>QUER  Lucas</t>
  </si>
  <si>
    <t>RASTIER  Sylvain</t>
  </si>
  <si>
    <t>RAYA  David</t>
  </si>
  <si>
    <t>RIBAS  Christian</t>
  </si>
  <si>
    <t>RIBEIL  David</t>
  </si>
  <si>
    <t>RICO  Julien</t>
  </si>
  <si>
    <t>RIEHL  Stéphane</t>
  </si>
  <si>
    <t>RIVALS  Jérémie</t>
  </si>
  <si>
    <t>RODA  Philippe</t>
  </si>
  <si>
    <t>RODRIGUES  Olivier</t>
  </si>
  <si>
    <t>RODRIGUEZ  Anthony</t>
  </si>
  <si>
    <t>RODRIGUEZ  Florian</t>
  </si>
  <si>
    <t>RODRIGUEZ  Julien</t>
  </si>
  <si>
    <t>RODRIGUEZ  Marc</t>
  </si>
  <si>
    <t>ROSALES  Lorenzo</t>
  </si>
  <si>
    <t>ROTELLA-ROCES Jean-Crhistophe</t>
  </si>
  <si>
    <t>RUEDA  Yves</t>
  </si>
  <si>
    <t>RUIDAVETS  Thierry</t>
  </si>
  <si>
    <t>RUIZ  Martial</t>
  </si>
  <si>
    <t>RUSSO  Stella</t>
  </si>
  <si>
    <t>SAQUER  Jean Marie</t>
  </si>
  <si>
    <t>SCHIESZLER  Eric</t>
  </si>
  <si>
    <t>SEVIN  Delphine</t>
  </si>
  <si>
    <t>SIDIBE  Alpha</t>
  </si>
  <si>
    <t>SILVESTRE  Didier</t>
  </si>
  <si>
    <t>SIMON  Benjamin</t>
  </si>
  <si>
    <t>SIMON  Jérôme</t>
  </si>
  <si>
    <t>SIMON  Lucas</t>
  </si>
  <si>
    <t>STRABACH  Bernard</t>
  </si>
  <si>
    <t>TAVERNIER  Christopher</t>
  </si>
  <si>
    <t>TAVERNIER Lucas</t>
  </si>
  <si>
    <t>TAYBI  Terry</t>
  </si>
  <si>
    <t>TEIXIDOR  Patrick</t>
  </si>
  <si>
    <t>THUILLIER  Guillaume</t>
  </si>
  <si>
    <t>TONON  Eric</t>
  </si>
  <si>
    <t>TORRENT  Claude</t>
  </si>
  <si>
    <t>VALETTE Thibault</t>
  </si>
  <si>
    <t>VERGES Sébastien</t>
  </si>
  <si>
    <t>VILACEQUE  Cédric</t>
  </si>
  <si>
    <t>WEISS  Franck</t>
  </si>
  <si>
    <t>ZAATAR  Djamel</t>
  </si>
  <si>
    <t>ZEGHARI  Abdelkader</t>
  </si>
  <si>
    <t>ZORDAN  Jérôme</t>
  </si>
  <si>
    <t>ZUILI  Alexandre</t>
  </si>
  <si>
    <t>Michaël</t>
  </si>
  <si>
    <t>ALLOGNE</t>
  </si>
  <si>
    <t>Sandrine</t>
  </si>
  <si>
    <t>Arnaud</t>
  </si>
  <si>
    <t>Alexandre</t>
  </si>
  <si>
    <t>Hafid</t>
  </si>
  <si>
    <t>Cristèle</t>
  </si>
  <si>
    <t>Elodie</t>
  </si>
  <si>
    <t>David</t>
  </si>
  <si>
    <t>NOEL</t>
  </si>
  <si>
    <t>Michel</t>
  </si>
  <si>
    <t>Pierre</t>
  </si>
  <si>
    <t>Yannick</t>
  </si>
  <si>
    <t>Jordan</t>
  </si>
  <si>
    <t>Baptiste</t>
  </si>
  <si>
    <t>Jérôme</t>
  </si>
  <si>
    <t>Gérard</t>
  </si>
  <si>
    <t>Bruno</t>
  </si>
  <si>
    <t>Corentin</t>
  </si>
  <si>
    <t>Florent</t>
  </si>
  <si>
    <t>Eric</t>
  </si>
  <si>
    <t>Tristan</t>
  </si>
  <si>
    <t>Olivier</t>
  </si>
  <si>
    <t>Christopher</t>
  </si>
  <si>
    <t>Samir</t>
  </si>
  <si>
    <t>Laurent</t>
  </si>
  <si>
    <t>François</t>
  </si>
  <si>
    <t>Nathalie</t>
  </si>
  <si>
    <t>Cyril</t>
  </si>
  <si>
    <t>Kévin</t>
  </si>
  <si>
    <t>Marion</t>
  </si>
  <si>
    <t>Thierry</t>
  </si>
  <si>
    <t>Laïd</t>
  </si>
  <si>
    <t>Saïdou</t>
  </si>
  <si>
    <t>Bastien</t>
  </si>
  <si>
    <t>Ahmed</t>
  </si>
  <si>
    <t>Mokadem</t>
  </si>
  <si>
    <t>Jose</t>
  </si>
  <si>
    <t>Teddy</t>
  </si>
  <si>
    <t>Nordine</t>
  </si>
  <si>
    <t>Gabriel</t>
  </si>
  <si>
    <t>Yann</t>
  </si>
  <si>
    <t>Mamadou</t>
  </si>
  <si>
    <t>Alexandro</t>
  </si>
  <si>
    <t>Elie</t>
  </si>
  <si>
    <t>Patrick</t>
  </si>
  <si>
    <t>Hervé</t>
  </si>
  <si>
    <t>Enzo</t>
  </si>
  <si>
    <t>Jérémie</t>
  </si>
  <si>
    <t>ICHEM</t>
  </si>
  <si>
    <t>Richard</t>
  </si>
  <si>
    <t>Loan</t>
  </si>
  <si>
    <t>Aimé</t>
  </si>
  <si>
    <t>Henri</t>
  </si>
  <si>
    <t>Youen</t>
  </si>
  <si>
    <t>Luis</t>
  </si>
  <si>
    <t>Helder</t>
  </si>
  <si>
    <t>Amar</t>
  </si>
  <si>
    <t>Xavier</t>
  </si>
  <si>
    <t>Paola</t>
  </si>
  <si>
    <t>Jérome</t>
  </si>
  <si>
    <t>Stéphane</t>
  </si>
  <si>
    <t>Pascal</t>
  </si>
  <si>
    <t>Jacques</t>
  </si>
  <si>
    <t>Didier</t>
  </si>
  <si>
    <t>Houari</t>
  </si>
  <si>
    <t>Christophe</t>
  </si>
  <si>
    <t>Abdallah</t>
  </si>
  <si>
    <t>Karim</t>
  </si>
  <si>
    <t>Clément</t>
  </si>
  <si>
    <t>Imdad</t>
  </si>
  <si>
    <t>Adrian</t>
  </si>
  <si>
    <t>Fabien</t>
  </si>
  <si>
    <t>Françoise</t>
  </si>
  <si>
    <t>Philippe</t>
  </si>
  <si>
    <t>Tony</t>
  </si>
  <si>
    <t>Sébastien</t>
  </si>
  <si>
    <t>Samuel</t>
  </si>
  <si>
    <t>Rodolphe</t>
  </si>
  <si>
    <t>NICOLAS</t>
  </si>
  <si>
    <t>Sloan</t>
  </si>
  <si>
    <t>Romain</t>
  </si>
  <si>
    <t>Emmanuel</t>
  </si>
  <si>
    <t>Florian</t>
  </si>
  <si>
    <t>Omar</t>
  </si>
  <si>
    <t>Djamel</t>
  </si>
  <si>
    <t>Ali</t>
  </si>
  <si>
    <t>Mohamed</t>
  </si>
  <si>
    <t>Emade</t>
  </si>
  <si>
    <t>Moussa</t>
  </si>
  <si>
    <t>Mustapha</t>
  </si>
  <si>
    <t>Loïc</t>
  </si>
  <si>
    <t>Valérie</t>
  </si>
  <si>
    <t>Nouredine</t>
  </si>
  <si>
    <t>Manon</t>
  </si>
  <si>
    <t>Bertrand</t>
  </si>
  <si>
    <t>Porfirio</t>
  </si>
  <si>
    <t>Lionel</t>
  </si>
  <si>
    <t>Franck</t>
  </si>
  <si>
    <t>Nicolas</t>
  </si>
  <si>
    <t>Anthony</t>
  </si>
  <si>
    <t>Marc</t>
  </si>
  <si>
    <t>Sylvain</t>
  </si>
  <si>
    <t>Elhadj</t>
  </si>
  <si>
    <t>Toufik</t>
  </si>
  <si>
    <t>Renaud</t>
  </si>
  <si>
    <t>Benjamin</t>
  </si>
  <si>
    <t>Mattéo</t>
  </si>
  <si>
    <t>Bouabdellah</t>
  </si>
  <si>
    <t>Mokhtar</t>
  </si>
  <si>
    <t>Tom</t>
  </si>
  <si>
    <t>Frédéric</t>
  </si>
  <si>
    <t>Lucas</t>
  </si>
  <si>
    <t>Christian</t>
  </si>
  <si>
    <t>Lorenzo</t>
  </si>
  <si>
    <t>Crhistophe</t>
  </si>
  <si>
    <t>Yves</t>
  </si>
  <si>
    <t>Martial</t>
  </si>
  <si>
    <t>Stella</t>
  </si>
  <si>
    <t>Marie</t>
  </si>
  <si>
    <t>Delphine</t>
  </si>
  <si>
    <t>Alpha</t>
  </si>
  <si>
    <t>Terry</t>
  </si>
  <si>
    <t>Guillaume</t>
  </si>
  <si>
    <t>Thibault</t>
  </si>
  <si>
    <t>Abdelkader</t>
  </si>
  <si>
    <t>AMIEL</t>
  </si>
  <si>
    <t>ANDRIEU</t>
  </si>
  <si>
    <t>ARNOULD</t>
  </si>
  <si>
    <t>BAALI</t>
  </si>
  <si>
    <t>BALET</t>
  </si>
  <si>
    <t>BANTOURE</t>
  </si>
  <si>
    <t>BARBERA</t>
  </si>
  <si>
    <t>BARJON</t>
  </si>
  <si>
    <t>BATAILLE</t>
  </si>
  <si>
    <t>BATLLE</t>
  </si>
  <si>
    <t>BELLANCE</t>
  </si>
  <si>
    <t>BELLIL</t>
  </si>
  <si>
    <t>BENET</t>
  </si>
  <si>
    <t>BERTELOOT</t>
  </si>
  <si>
    <t>BLANIC</t>
  </si>
  <si>
    <t>BLAZY</t>
  </si>
  <si>
    <t>BLET</t>
  </si>
  <si>
    <t>BLONDEAU</t>
  </si>
  <si>
    <t>BLONDEL</t>
  </si>
  <si>
    <t>BORGOGNO</t>
  </si>
  <si>
    <t>BOUCHADEL</t>
  </si>
  <si>
    <t>BOUGAREL</t>
  </si>
  <si>
    <t>BOURBAO</t>
  </si>
  <si>
    <t>BOUTRUCHE</t>
  </si>
  <si>
    <t>BOUZIDI</t>
  </si>
  <si>
    <t>BOYER</t>
  </si>
  <si>
    <t>BRUNET</t>
  </si>
  <si>
    <t>CABEZUDO</t>
  </si>
  <si>
    <t>CALVAS</t>
  </si>
  <si>
    <t>CARDON</t>
  </si>
  <si>
    <t>CARRERE</t>
  </si>
  <si>
    <t>CASTANYE</t>
  </si>
  <si>
    <t>CAYRAC</t>
  </si>
  <si>
    <t>CHAMELOT</t>
  </si>
  <si>
    <t>CHENARD</t>
  </si>
  <si>
    <t>CHERGUI</t>
  </si>
  <si>
    <t>CISSE</t>
  </si>
  <si>
    <t>CULEBRAS</t>
  </si>
  <si>
    <t>DAHAS</t>
  </si>
  <si>
    <t>DE</t>
  </si>
  <si>
    <t>DEBZA</t>
  </si>
  <si>
    <t>DEDREUX</t>
  </si>
  <si>
    <t>DELANOY</t>
  </si>
  <si>
    <t>DELATRE</t>
  </si>
  <si>
    <t>DIALLO</t>
  </si>
  <si>
    <t>DISSARD</t>
  </si>
  <si>
    <t>DISTEFANO</t>
  </si>
  <si>
    <t>DOMINGO</t>
  </si>
  <si>
    <t>DORISON</t>
  </si>
  <si>
    <t>DUBOIS</t>
  </si>
  <si>
    <t>DUFOUR</t>
  </si>
  <si>
    <t>DUPERRON</t>
  </si>
  <si>
    <t>DUTILLEUL</t>
  </si>
  <si>
    <t>EL</t>
  </si>
  <si>
    <t>EMEDES</t>
  </si>
  <si>
    <t>ESPIE</t>
  </si>
  <si>
    <t>ESTEBAN</t>
  </si>
  <si>
    <t>ESTEVE</t>
  </si>
  <si>
    <t>FABRE</t>
  </si>
  <si>
    <t>FAGEDET</t>
  </si>
  <si>
    <t>FAVINO</t>
  </si>
  <si>
    <t>FENAUX</t>
  </si>
  <si>
    <t>FERNANDEZ</t>
  </si>
  <si>
    <t>FERREIRA</t>
  </si>
  <si>
    <t>FIGUERAS</t>
  </si>
  <si>
    <t>FODIL</t>
  </si>
  <si>
    <t>FOURNIS</t>
  </si>
  <si>
    <t>FREDERIQUE</t>
  </si>
  <si>
    <t>FRUCTUOSO</t>
  </si>
  <si>
    <t>GALIBERT</t>
  </si>
  <si>
    <t>GARCIA</t>
  </si>
  <si>
    <t>GERENTON</t>
  </si>
  <si>
    <t>GERVAIS</t>
  </si>
  <si>
    <t>GOURMAUX</t>
  </si>
  <si>
    <t>GRAELL</t>
  </si>
  <si>
    <t>GUILLAMET</t>
  </si>
  <si>
    <t>GUTIERREZ</t>
  </si>
  <si>
    <t>HADJOUTI</t>
  </si>
  <si>
    <t>HAMEL</t>
  </si>
  <si>
    <t>HAROUNE</t>
  </si>
  <si>
    <t>HERNANDEZ</t>
  </si>
  <si>
    <t>HITA</t>
  </si>
  <si>
    <t>HOSTAILLE</t>
  </si>
  <si>
    <t>HUMBERT</t>
  </si>
  <si>
    <t>HUSSAIN</t>
  </si>
  <si>
    <t>JACQUET</t>
  </si>
  <si>
    <t>KHEDIMI</t>
  </si>
  <si>
    <t>KOSTRZEVA</t>
  </si>
  <si>
    <t>LABAU</t>
  </si>
  <si>
    <t>LAGNEAUX</t>
  </si>
  <si>
    <t>LAGO</t>
  </si>
  <si>
    <t>LALLEMAND</t>
  </si>
  <si>
    <t>LAMAISON</t>
  </si>
  <si>
    <t>LASALA</t>
  </si>
  <si>
    <t>LAVERGNE</t>
  </si>
  <si>
    <t>LE</t>
  </si>
  <si>
    <t>LECOCQ</t>
  </si>
  <si>
    <t>LEGOUVERNEUR</t>
  </si>
  <si>
    <t>LEMAIRE</t>
  </si>
  <si>
    <t>LEROY</t>
  </si>
  <si>
    <t>LESTEL</t>
  </si>
  <si>
    <t>LIZANO</t>
  </si>
  <si>
    <t>LLINARES</t>
  </si>
  <si>
    <t>LOSADA</t>
  </si>
  <si>
    <t>LUNATY</t>
  </si>
  <si>
    <t>MAIGRET</t>
  </si>
  <si>
    <t>MARQUIER</t>
  </si>
  <si>
    <t>MARTINEZ</t>
  </si>
  <si>
    <t>MAS</t>
  </si>
  <si>
    <t>MASO</t>
  </si>
  <si>
    <t>MATILDE</t>
  </si>
  <si>
    <t>MEGUENANE</t>
  </si>
  <si>
    <t>MEKKI</t>
  </si>
  <si>
    <t>MEKLATI</t>
  </si>
  <si>
    <t>MELLAL</t>
  </si>
  <si>
    <t>MERASLI</t>
  </si>
  <si>
    <t>MERCIER</t>
  </si>
  <si>
    <t>MESA</t>
  </si>
  <si>
    <t>MESSABIH</t>
  </si>
  <si>
    <t>MESTRE</t>
  </si>
  <si>
    <t>MIFFRE</t>
  </si>
  <si>
    <t>MIRANDA</t>
  </si>
  <si>
    <t>MOLLET</t>
  </si>
  <si>
    <t>MONTGAILLARD</t>
  </si>
  <si>
    <t>MORA</t>
  </si>
  <si>
    <t>MORALES</t>
  </si>
  <si>
    <t>MUNIENTE</t>
  </si>
  <si>
    <t>MUNOZ</t>
  </si>
  <si>
    <t>NEGAD</t>
  </si>
  <si>
    <t>NERDIG</t>
  </si>
  <si>
    <t>NOGUER</t>
  </si>
  <si>
    <t>NOLIN</t>
  </si>
  <si>
    <t>O'HARE</t>
  </si>
  <si>
    <t>ORIOL</t>
  </si>
  <si>
    <t>ORTIZ</t>
  </si>
  <si>
    <t>OUICI</t>
  </si>
  <si>
    <t>PADE</t>
  </si>
  <si>
    <t>PAGANE</t>
  </si>
  <si>
    <t>PALAU</t>
  </si>
  <si>
    <t>PAULY</t>
  </si>
  <si>
    <t>PESQUE</t>
  </si>
  <si>
    <t>PETIT</t>
  </si>
  <si>
    <t>PETITCOLIN</t>
  </si>
  <si>
    <t>PLANES</t>
  </si>
  <si>
    <t>POQUET</t>
  </si>
  <si>
    <t>PORTES</t>
  </si>
  <si>
    <t>PROSDOCIMI</t>
  </si>
  <si>
    <t>PUJOL</t>
  </si>
  <si>
    <t>QUER</t>
  </si>
  <si>
    <t>RASTIER</t>
  </si>
  <si>
    <t>RAYA</t>
  </si>
  <si>
    <t>RIBAS</t>
  </si>
  <si>
    <t>RIBEIL</t>
  </si>
  <si>
    <t>RICO</t>
  </si>
  <si>
    <t>RIEHL</t>
  </si>
  <si>
    <t>RIVALS</t>
  </si>
  <si>
    <t>RODA</t>
  </si>
  <si>
    <t>RODRIGUES</t>
  </si>
  <si>
    <t>RODRIGUEZ</t>
  </si>
  <si>
    <t>ROSALES</t>
  </si>
  <si>
    <t>ROTELLA</t>
  </si>
  <si>
    <t>RUEDA</t>
  </si>
  <si>
    <t>RUIDAVETS</t>
  </si>
  <si>
    <t>RUIZ</t>
  </si>
  <si>
    <t>RUSSO</t>
  </si>
  <si>
    <t>SAQUER</t>
  </si>
  <si>
    <t>SCHIESZLER</t>
  </si>
  <si>
    <t>SEVIN</t>
  </si>
  <si>
    <t>SIDIBE</t>
  </si>
  <si>
    <t>SILVESTRE</t>
  </si>
  <si>
    <t>SIMON</t>
  </si>
  <si>
    <t>STRABACH</t>
  </si>
  <si>
    <t>TAVERNIER</t>
  </si>
  <si>
    <t>TAYBI</t>
  </si>
  <si>
    <t>TEIXIDOR</t>
  </si>
  <si>
    <t>THUILLIER</t>
  </si>
  <si>
    <t>TONON</t>
  </si>
  <si>
    <t>TORRENT</t>
  </si>
  <si>
    <t>VALETTE</t>
  </si>
  <si>
    <t>VERGES</t>
  </si>
  <si>
    <t>VILACEQUE</t>
  </si>
  <si>
    <t>WEISS</t>
  </si>
  <si>
    <t>ZAATAR</t>
  </si>
  <si>
    <t>ZEGHARI</t>
  </si>
  <si>
    <t>ZORDAN</t>
  </si>
  <si>
    <t>ZUILI</t>
  </si>
  <si>
    <t>Chef d'agence</t>
  </si>
  <si>
    <t>Chef de chantier</t>
  </si>
  <si>
    <t>Chef de centre</t>
  </si>
  <si>
    <t>Géomètre</t>
  </si>
  <si>
    <t>Noël</t>
  </si>
  <si>
    <t>Ponteilla</t>
  </si>
  <si>
    <t>Toulouges</t>
  </si>
  <si>
    <t>noel.barjon@colas.com</t>
  </si>
  <si>
    <t>baptiste.benet@colas.com</t>
  </si>
  <si>
    <t>eric.bouchadel@colas.com</t>
  </si>
  <si>
    <t>thierry.chamelot@colas.com</t>
  </si>
  <si>
    <t>manuel.culebras@colas.com</t>
  </si>
  <si>
    <t>pierre.duperron@colas.com</t>
  </si>
  <si>
    <t>laurent.galibert@colas.com</t>
  </si>
  <si>
    <t>eric.matilde@colas.com</t>
  </si>
  <si>
    <t>renemarc.muniente@colas.com</t>
  </si>
  <si>
    <t>Chef de secteur</t>
  </si>
  <si>
    <t>Chef d'application</t>
  </si>
  <si>
    <t>Photo</t>
  </si>
  <si>
    <t>Regroupement Poste</t>
  </si>
  <si>
    <t>OK</t>
  </si>
  <si>
    <t>Ouvrier routier</t>
  </si>
  <si>
    <t>Conducteur d'engins / Chauffeur PL / Ouvrier</t>
  </si>
  <si>
    <t>Administratif / Support</t>
  </si>
  <si>
    <t>Saillagouse</t>
  </si>
  <si>
    <t>Ouvrier VRD</t>
  </si>
  <si>
    <t>Elne</t>
  </si>
  <si>
    <t>Alternant exploitation / projets</t>
  </si>
  <si>
    <t>Chef de chantier / d'équipe</t>
  </si>
  <si>
    <t>Maçon</t>
  </si>
  <si>
    <t>Direction</t>
  </si>
  <si>
    <t>06 68 65 41 03</t>
  </si>
  <si>
    <t>Le Soler</t>
  </si>
  <si>
    <t>Conducteur d'engins</t>
  </si>
  <si>
    <t>Corneilla De Conflent</t>
  </si>
  <si>
    <t>06 65 47 61 16</t>
  </si>
  <si>
    <t>Industrie</t>
  </si>
  <si>
    <t>ok</t>
  </si>
  <si>
    <t>Chauffeur PL</t>
  </si>
  <si>
    <t>Villeneuve La Riviere</t>
  </si>
  <si>
    <t>06 24 37 04 23</t>
  </si>
  <si>
    <t>Bages</t>
  </si>
  <si>
    <t>Canet En Roussillon</t>
  </si>
  <si>
    <t>029</t>
  </si>
  <si>
    <t>087678</t>
  </si>
  <si>
    <t>Canohes</t>
  </si>
  <si>
    <t>06 63 39 00 25</t>
  </si>
  <si>
    <t>cedric.boyer@colas.com</t>
  </si>
  <si>
    <t>Llupia</t>
  </si>
  <si>
    <t>Palau Del Vidre</t>
  </si>
  <si>
    <t>07 60 16 97 94</t>
  </si>
  <si>
    <t>Passa</t>
  </si>
  <si>
    <t>06 68 63 96 63</t>
  </si>
  <si>
    <t>06 69 78 36 19</t>
  </si>
  <si>
    <t>Baho</t>
  </si>
  <si>
    <t>06 98 65 57 93</t>
  </si>
  <si>
    <t>061</t>
  </si>
  <si>
    <t>036561</t>
  </si>
  <si>
    <t>Llo</t>
  </si>
  <si>
    <t>06 67 58 65 83</t>
  </si>
  <si>
    <t>062</t>
  </si>
  <si>
    <t>251497</t>
  </si>
  <si>
    <t>Ichem</t>
  </si>
  <si>
    <t xml:space="preserve">EL ASRI </t>
  </si>
  <si>
    <t>ichem.elasri@colas.com</t>
  </si>
  <si>
    <t>063</t>
  </si>
  <si>
    <t>124186</t>
  </si>
  <si>
    <t>Régleur finisseur</t>
  </si>
  <si>
    <t>Saint Esteve</t>
  </si>
  <si>
    <t>077</t>
  </si>
  <si>
    <t>255306</t>
  </si>
  <si>
    <t>07 62 61 36 93</t>
  </si>
  <si>
    <t>jerome.fructuoso@colas.com</t>
  </si>
  <si>
    <t>06 65 07 31 14</t>
  </si>
  <si>
    <t>Ceret</t>
  </si>
  <si>
    <t>Pia</t>
  </si>
  <si>
    <t>Millas</t>
  </si>
  <si>
    <t>Pollestres</t>
  </si>
  <si>
    <t>Cabestany</t>
  </si>
  <si>
    <t>106</t>
  </si>
  <si>
    <t>129358</t>
  </si>
  <si>
    <t>LE DOSSEUR</t>
  </si>
  <si>
    <t>Chargé études de prix</t>
  </si>
  <si>
    <t>06 62 86 90 44</t>
  </si>
  <si>
    <t>francois.ledosseur@colas.com</t>
  </si>
  <si>
    <t>Torreilles</t>
  </si>
  <si>
    <t>07 61 54 20 42</t>
  </si>
  <si>
    <t>125</t>
  </si>
  <si>
    <t>088515</t>
  </si>
  <si>
    <t>06 74 41 75 98</t>
  </si>
  <si>
    <t>laid.meguenane@colas.com</t>
  </si>
  <si>
    <t>Corbere Les Cabanes</t>
  </si>
  <si>
    <t>143</t>
  </si>
  <si>
    <t>148429</t>
  </si>
  <si>
    <t>06 60 61 86 73</t>
  </si>
  <si>
    <t>06 69 47 72 98</t>
  </si>
  <si>
    <t>anthony.muniente@colas.com</t>
  </si>
  <si>
    <t>152</t>
  </si>
  <si>
    <t>248588</t>
  </si>
  <si>
    <t>06 99 47 34 47</t>
  </si>
  <si>
    <t>cedric.nolin@colas.com</t>
  </si>
  <si>
    <t>153</t>
  </si>
  <si>
    <t>123109</t>
  </si>
  <si>
    <t>Vinca</t>
  </si>
  <si>
    <t>06 68 80 56 65</t>
  </si>
  <si>
    <t>benjamin.ohare@colas.com</t>
  </si>
  <si>
    <t>163</t>
  </si>
  <si>
    <t>086058</t>
  </si>
  <si>
    <t>06 65 10 40 66</t>
  </si>
  <si>
    <t>frederic.pesque@colas.com</t>
  </si>
  <si>
    <t>164</t>
  </si>
  <si>
    <t>291011</t>
  </si>
  <si>
    <t>165</t>
  </si>
  <si>
    <t>121130</t>
  </si>
  <si>
    <t>Salses Le Chateau</t>
  </si>
  <si>
    <t>166</t>
  </si>
  <si>
    <t>232117</t>
  </si>
  <si>
    <t>Responsable achats régions</t>
  </si>
  <si>
    <t>06 69 46 62 20</t>
  </si>
  <si>
    <t>christophe.planes@colas.com</t>
  </si>
  <si>
    <t>167</t>
  </si>
  <si>
    <t>244776</t>
  </si>
  <si>
    <t>168</t>
  </si>
  <si>
    <t>257143</t>
  </si>
  <si>
    <t>Technicien d'installation / maintenance</t>
  </si>
  <si>
    <t>06 60 29 34 23</t>
  </si>
  <si>
    <t>thomas.portes@colas.com</t>
  </si>
  <si>
    <t>177</t>
  </si>
  <si>
    <t>240121</t>
  </si>
  <si>
    <t>Sainte Marie De La Mer</t>
  </si>
  <si>
    <t>06 66 46 03 09</t>
  </si>
  <si>
    <t>stephane.riehl@colas.com</t>
  </si>
  <si>
    <t>178</t>
  </si>
  <si>
    <t>088646</t>
  </si>
  <si>
    <t>06 62 29 19 34</t>
  </si>
  <si>
    <t>jeremie.rivals@colas.com</t>
  </si>
  <si>
    <t>179</t>
  </si>
  <si>
    <t>076357</t>
  </si>
  <si>
    <t>06 60 09 36 05</t>
  </si>
  <si>
    <t>philippe.roda@colas.com</t>
  </si>
  <si>
    <t>180</t>
  </si>
  <si>
    <t>109402</t>
  </si>
  <si>
    <t>181</t>
  </si>
  <si>
    <t>252650</t>
  </si>
  <si>
    <t>182</t>
  </si>
  <si>
    <t>095622</t>
  </si>
  <si>
    <t>Latour Bas Elne</t>
  </si>
  <si>
    <t>06 61 52 89 99</t>
  </si>
  <si>
    <t>florian.rodriguez@colas.com</t>
  </si>
  <si>
    <t>183</t>
  </si>
  <si>
    <t>115171</t>
  </si>
  <si>
    <t>Corneilla Del Vercol</t>
  </si>
  <si>
    <t>184</t>
  </si>
  <si>
    <t>091513</t>
  </si>
  <si>
    <t>185</t>
  </si>
  <si>
    <t>115169</t>
  </si>
  <si>
    <t>186</t>
  </si>
  <si>
    <t>293819</t>
  </si>
  <si>
    <t>Jean-Christophe</t>
  </si>
  <si>
    <t>ROTELLA-ROCES</t>
  </si>
  <si>
    <t>Saint Jean Pla De Corts</t>
  </si>
  <si>
    <t>187</t>
  </si>
  <si>
    <t>093059</t>
  </si>
  <si>
    <t>188</t>
  </si>
  <si>
    <t>071390</t>
  </si>
  <si>
    <t>St Laurent De La Salanque</t>
  </si>
  <si>
    <t>189</t>
  </si>
  <si>
    <t>154809</t>
  </si>
  <si>
    <t>190</t>
  </si>
  <si>
    <t>291267</t>
  </si>
  <si>
    <t>07 65 23 70 70</t>
  </si>
  <si>
    <t>stella.russo@colas.com</t>
  </si>
  <si>
    <t>191</t>
  </si>
  <si>
    <t>052161</t>
  </si>
  <si>
    <t>Jean-Marie</t>
  </si>
  <si>
    <t>Montauriol</t>
  </si>
  <si>
    <t>192</t>
  </si>
  <si>
    <t>127119</t>
  </si>
  <si>
    <t>194</t>
  </si>
  <si>
    <t>291370</t>
  </si>
  <si>
    <t>195</t>
  </si>
  <si>
    <t>043890</t>
  </si>
  <si>
    <t>196</t>
  </si>
  <si>
    <t>135584</t>
  </si>
  <si>
    <t>Corbere</t>
  </si>
  <si>
    <t>197</t>
  </si>
  <si>
    <t>088855</t>
  </si>
  <si>
    <t>Montescot</t>
  </si>
  <si>
    <t>198</t>
  </si>
  <si>
    <t>258373</t>
  </si>
  <si>
    <t>Rodes</t>
  </si>
  <si>
    <t>200</t>
  </si>
  <si>
    <t>096057</t>
  </si>
  <si>
    <t>Ste Marie La Mer</t>
  </si>
  <si>
    <t>christopher.tavernier@colas.com</t>
  </si>
  <si>
    <t>209</t>
  </si>
  <si>
    <t>255752</t>
  </si>
  <si>
    <t>07 63 18 21 12</t>
  </si>
  <si>
    <t>cedric.vilaceque@colas.com</t>
  </si>
  <si>
    <t>210</t>
  </si>
  <si>
    <t>118055</t>
  </si>
  <si>
    <t>211</t>
  </si>
  <si>
    <t>115148</t>
  </si>
  <si>
    <t>212</t>
  </si>
  <si>
    <t>258303</t>
  </si>
  <si>
    <t>213</t>
  </si>
  <si>
    <t>116298</t>
  </si>
  <si>
    <t>06 66 99 86 72</t>
  </si>
  <si>
    <t>jerome.zordan@colas.com</t>
  </si>
  <si>
    <t>214</t>
  </si>
  <si>
    <t>253472</t>
  </si>
  <si>
    <t>07 62 67 98 57</t>
  </si>
  <si>
    <t>alexandre.zuili@colas.com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</si>
</sst>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63"/>
      <name val="Arial"/>
      <family val="2"/>
    </font>
    <font>
      <sz val="8"/>
      <name val="Calibri"/>
      <family val="2"/>
      <scheme val="minor"/>
    </font>
    <font>
      <sz val="9"/>
      <color rgb="FF333333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48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9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tted">
        <color indexed="32"/>
      </left>
      <right style="dotted">
        <color indexed="32"/>
      </right>
      <top style="dotted">
        <color indexed="32"/>
      </top>
      <bottom style="dotted">
        <color indexed="32"/>
      </bottom>
      <diagonal/>
    </border>
    <border>
      <left style="dotted">
        <color indexed="32"/>
      </left>
      <right style="dotted">
        <color indexed="32"/>
      </right>
      <top style="dotted">
        <color indexed="32"/>
      </top>
      <bottom style="thin">
        <color indexed="3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left"/>
    </xf>
    <xf numFmtId="49" fontId="4" fillId="2" borderId="3" xfId="0" applyNumberFormat="1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1" applyNumberFormat="1" applyFont="1" applyAlignment="1">
      <alignment horizontal="center" vertical="center"/>
    </xf>
    <xf numFmtId="0" fontId="5" fillId="4" borderId="0" xfId="1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4" fontId="5" fillId="4" borderId="0" xfId="0" applyNumberFormat="1" applyFont="1" applyFill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1933575</xdr:colOff>
          <xdr:row>0</xdr:row>
          <xdr:rowOff>219075</xdr:rowOff>
        </xdr:from>
        <xdr:to>
          <xdr:col>25</xdr:col>
          <xdr:colOff>114300</xdr:colOff>
          <xdr:row>2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82296" tIns="86868" rIns="82296" bIns="86868" anchor="ctr" upright="1"/>
            <a:lstStyle/>
            <a:p>
              <a:pPr algn="ctr" rtl="0">
                <a:defRPr sz="1000"/>
              </a:pPr>
              <a:r>
                <a:rPr lang="fr-FR" sz="48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ACTUALISER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EV\Organigramme_Entreprise%20A%20REMPLIR.xlsx" TargetMode="External"/><Relationship Id="rId1" Type="http://schemas.openxmlformats.org/officeDocument/2006/relationships/externalLinkPath" Target="file:///C:\DEV\Organigramme_Entreprise%20A%20REMPL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es personnels"/>
      <sheetName val="Données"/>
    </sheetNames>
    <definedNames>
      <definedName name="CalculerFeuille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zoomScale="80" zoomScaleNormal="80" workbookViewId="0">
      <pane ySplit="1" topLeftCell="A2" activePane="bottomLeft" state="frozen"/>
      <selection pane="bottomLeft" activeCell="B5" sqref="B5"/>
    </sheetView>
  </sheetViews>
  <sheetFormatPr baseColWidth="10" defaultColWidth="9.140625" defaultRowHeight="20.100000000000001" customHeight="1" x14ac:dyDescent="0.25"/>
  <cols>
    <col min="1" max="1" width="8.85546875" style="11" bestFit="1" customWidth="1"/>
    <col min="2" max="2" width="16.28515625" style="9" customWidth="1"/>
    <col min="3" max="3" width="17.28515625" style="9" bestFit="1" customWidth="1"/>
    <col min="4" max="4" width="28" style="9" bestFit="1" customWidth="1"/>
    <col min="5" max="5" width="10.85546875" style="9" customWidth="1"/>
    <col min="6" max="6" width="43" style="9" bestFit="1" customWidth="1"/>
    <col min="7" max="7" width="45.85546875" style="9" customWidth="1"/>
    <col min="8" max="8" width="17.85546875" style="9" bestFit="1" customWidth="1"/>
    <col min="9" max="9" width="26.42578125" style="9" customWidth="1"/>
    <col min="10" max="11" width="30" style="9" customWidth="1"/>
    <col min="12" max="12" width="32.85546875" style="9" customWidth="1"/>
    <col min="13" max="13" width="17.28515625" style="10" customWidth="1"/>
    <col min="14" max="14" width="13.85546875" style="9" customWidth="1"/>
    <col min="15" max="15" width="21.85546875" style="10" customWidth="1"/>
    <col min="16" max="16" width="16.140625" style="9" customWidth="1"/>
    <col min="17" max="17" width="172.85546875" style="9" bestFit="1" customWidth="1"/>
    <col min="18" max="18" width="9.140625" style="9"/>
    <col min="19" max="19" width="48.5703125" style="9" customWidth="1"/>
    <col min="20" max="16384" width="9.140625" style="9"/>
  </cols>
  <sheetData>
    <row r="1" spans="1:17" s="7" customFormat="1" ht="20.100000000000001" customHeight="1" x14ac:dyDescent="0.25">
      <c r="A1" s="12" t="s">
        <v>0</v>
      </c>
      <c r="B1" s="13" t="s">
        <v>19</v>
      </c>
      <c r="C1" s="13" t="s">
        <v>20</v>
      </c>
      <c r="D1" s="13" t="s">
        <v>1</v>
      </c>
      <c r="E1" s="13" t="s">
        <v>597</v>
      </c>
      <c r="F1" s="13" t="s">
        <v>4</v>
      </c>
      <c r="G1" s="13" t="s">
        <v>598</v>
      </c>
      <c r="H1" s="13" t="s">
        <v>3</v>
      </c>
      <c r="I1" s="13" t="s">
        <v>21</v>
      </c>
      <c r="J1" s="13" t="s">
        <v>22</v>
      </c>
      <c r="K1" s="13" t="s">
        <v>23</v>
      </c>
      <c r="L1" s="13" t="s">
        <v>2</v>
      </c>
      <c r="M1" s="14" t="s">
        <v>24</v>
      </c>
      <c r="N1" s="13" t="s">
        <v>25</v>
      </c>
      <c r="O1" s="14" t="s">
        <v>26</v>
      </c>
      <c r="P1" s="13" t="s">
        <v>27</v>
      </c>
      <c r="Q1" s="13" t="s">
        <v>5</v>
      </c>
    </row>
    <row r="2" spans="1:17" ht="20.100000000000001" customHeight="1" x14ac:dyDescent="0.25">
      <c r="A2" s="8" t="s">
        <v>28</v>
      </c>
      <c r="B2" s="8" t="s">
        <v>39</v>
      </c>
      <c r="C2" s="9" t="s">
        <v>583</v>
      </c>
      <c r="D2" s="10" t="s">
        <v>400</v>
      </c>
      <c r="E2" s="10" t="s">
        <v>599</v>
      </c>
      <c r="F2" s="9" t="s">
        <v>579</v>
      </c>
      <c r="G2" s="9" t="s">
        <v>609</v>
      </c>
      <c r="H2" s="9" t="s">
        <v>11</v>
      </c>
      <c r="I2" s="9" t="s">
        <v>35</v>
      </c>
      <c r="J2" s="9" t="s">
        <v>10</v>
      </c>
      <c r="K2" s="9" t="s">
        <v>610</v>
      </c>
      <c r="L2" s="9" t="s">
        <v>586</v>
      </c>
      <c r="M2" s="10">
        <v>32630</v>
      </c>
      <c r="N2" s="9">
        <f t="shared" ref="N2:N11" ca="1" si="0">DATEDIF(M2,TODAY(),"y")</f>
        <v>36</v>
      </c>
      <c r="O2" s="10">
        <v>41407</v>
      </c>
      <c r="P2" s="9">
        <f t="shared" ref="P2:P11" ca="1" si="1">DATEDIF(O2,TODAY(),"y")</f>
        <v>12</v>
      </c>
    </row>
    <row r="3" spans="1:17" ht="20.100000000000001" customHeight="1" x14ac:dyDescent="0.25">
      <c r="A3" s="8" t="s">
        <v>29</v>
      </c>
      <c r="B3" s="8" t="s">
        <v>40</v>
      </c>
      <c r="C3" s="9" t="s">
        <v>281</v>
      </c>
      <c r="D3" s="10" t="s">
        <v>405</v>
      </c>
      <c r="E3" s="10" t="s">
        <v>599</v>
      </c>
      <c r="F3" s="9" t="s">
        <v>581</v>
      </c>
      <c r="G3" s="9" t="s">
        <v>609</v>
      </c>
      <c r="H3" s="9" t="s">
        <v>11</v>
      </c>
      <c r="I3" s="9" t="s">
        <v>35</v>
      </c>
      <c r="J3" s="9" t="s">
        <v>613</v>
      </c>
      <c r="K3" s="9" t="s">
        <v>614</v>
      </c>
      <c r="L3" s="9" t="s">
        <v>587</v>
      </c>
      <c r="M3" s="10">
        <v>29770</v>
      </c>
      <c r="N3" s="9">
        <f t="shared" ca="1" si="0"/>
        <v>44</v>
      </c>
      <c r="O3" s="10">
        <v>38306</v>
      </c>
      <c r="P3" s="9">
        <f t="shared" ca="1" si="1"/>
        <v>21</v>
      </c>
      <c r="Q3" s="9" t="str" cm="1">
        <f t="array" ref="Q3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4" spans="1:17" ht="20.100000000000001" customHeight="1" x14ac:dyDescent="0.25">
      <c r="A4" s="8" t="s">
        <v>48</v>
      </c>
      <c r="B4" s="8" t="s">
        <v>41</v>
      </c>
      <c r="C4" s="9" t="s">
        <v>287</v>
      </c>
      <c r="D4" s="10" t="s">
        <v>413</v>
      </c>
      <c r="E4" s="10" t="s">
        <v>599</v>
      </c>
      <c r="F4" s="9" t="s">
        <v>581</v>
      </c>
      <c r="G4" s="9" t="s">
        <v>609</v>
      </c>
      <c r="H4" s="9" t="s">
        <v>10</v>
      </c>
      <c r="I4" s="9" t="s">
        <v>35</v>
      </c>
      <c r="J4" s="9" t="s">
        <v>618</v>
      </c>
      <c r="K4" s="9" t="s">
        <v>619</v>
      </c>
      <c r="L4" s="9" t="s">
        <v>588</v>
      </c>
      <c r="M4" s="10">
        <v>24505</v>
      </c>
      <c r="N4" s="9">
        <f t="shared" ca="1" si="0"/>
        <v>59</v>
      </c>
      <c r="O4" s="10">
        <v>44075</v>
      </c>
      <c r="P4" s="9">
        <f t="shared" ca="1" si="1"/>
        <v>5</v>
      </c>
      <c r="Q4" s="9" t="str" cm="1">
        <f t="array" ref="Q4">_xlfn.TEXTJOIN(" / ",TRUE,_xlfn._xlws.FILTER(A:A,(F:F="Chef de centre")*(H:H="Thuir"),"Non trouvé"))</f>
        <v>016</v>
      </c>
    </row>
    <row r="5" spans="1:17" ht="20.100000000000001" customHeight="1" x14ac:dyDescent="0.25">
      <c r="A5" s="8" t="s">
        <v>622</v>
      </c>
      <c r="B5" s="8" t="s">
        <v>623</v>
      </c>
      <c r="C5" s="9" t="s">
        <v>14</v>
      </c>
      <c r="D5" s="10" t="s">
        <v>418</v>
      </c>
      <c r="E5" s="10" t="s">
        <v>616</v>
      </c>
      <c r="F5" s="9" t="s">
        <v>15</v>
      </c>
      <c r="G5" s="9" t="s">
        <v>15</v>
      </c>
      <c r="H5" s="9" t="s">
        <v>11</v>
      </c>
      <c r="I5" s="9" t="s">
        <v>35</v>
      </c>
      <c r="J5" s="9" t="s">
        <v>624</v>
      </c>
      <c r="K5" s="9" t="s">
        <v>625</v>
      </c>
      <c r="L5" s="9" t="s">
        <v>626</v>
      </c>
      <c r="M5" s="10">
        <v>28244</v>
      </c>
      <c r="N5" s="9">
        <f t="shared" ca="1" si="0"/>
        <v>48</v>
      </c>
      <c r="O5" s="10">
        <v>36831</v>
      </c>
      <c r="P5" s="9">
        <f t="shared" ca="1" si="1"/>
        <v>25</v>
      </c>
      <c r="Q5" s="9" t="str" cm="1">
        <f t="array" ref="Q5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6" spans="1:17" ht="20.100000000000001" customHeight="1" x14ac:dyDescent="0.25">
      <c r="A6" s="8" t="s">
        <v>49</v>
      </c>
      <c r="B6" s="8" t="s">
        <v>42</v>
      </c>
      <c r="C6" s="9" t="s">
        <v>298</v>
      </c>
      <c r="D6" s="10" t="s">
        <v>426</v>
      </c>
      <c r="E6" s="10" t="s">
        <v>616</v>
      </c>
      <c r="F6" s="9" t="s">
        <v>582</v>
      </c>
      <c r="G6" s="9" t="s">
        <v>602</v>
      </c>
      <c r="H6" s="9" t="s">
        <v>11</v>
      </c>
      <c r="I6" s="9" t="s">
        <v>33</v>
      </c>
      <c r="J6" s="9" t="s">
        <v>584</v>
      </c>
      <c r="K6" s="9" t="s">
        <v>629</v>
      </c>
      <c r="L6" s="9" t="s">
        <v>589</v>
      </c>
      <c r="M6" s="10">
        <v>25453</v>
      </c>
      <c r="N6" s="9">
        <f t="shared" ca="1" si="0"/>
        <v>56</v>
      </c>
      <c r="O6" s="10">
        <v>42038</v>
      </c>
      <c r="P6" s="9">
        <f t="shared" ca="1" si="1"/>
        <v>11</v>
      </c>
      <c r="Q6" s="9" t="str" cm="1">
        <f t="array" ref="Q6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7" spans="1:17" ht="20.100000000000001" customHeight="1" x14ac:dyDescent="0.25">
      <c r="A7" s="8" t="s">
        <v>50</v>
      </c>
      <c r="B7" s="8" t="s">
        <v>43</v>
      </c>
      <c r="C7" s="9" t="s">
        <v>17</v>
      </c>
      <c r="D7" s="10" t="s">
        <v>430</v>
      </c>
      <c r="E7" s="10" t="s">
        <v>616</v>
      </c>
      <c r="F7" s="9" t="s">
        <v>15</v>
      </c>
      <c r="G7" s="9" t="s">
        <v>15</v>
      </c>
      <c r="H7" s="9" t="s">
        <v>12</v>
      </c>
      <c r="I7" s="9" t="s">
        <v>35</v>
      </c>
      <c r="J7" s="9" t="s">
        <v>630</v>
      </c>
      <c r="K7" s="9" t="s">
        <v>631</v>
      </c>
      <c r="L7" s="9" t="s">
        <v>590</v>
      </c>
      <c r="M7" s="10">
        <v>27009</v>
      </c>
      <c r="N7" s="9">
        <f t="shared" ca="1" si="0"/>
        <v>52</v>
      </c>
      <c r="O7" s="10">
        <v>38600</v>
      </c>
      <c r="P7" s="9">
        <f t="shared" ca="1" si="1"/>
        <v>20</v>
      </c>
      <c r="Q7" s="9" t="str" cm="1">
        <f t="array" ref="Q7">IF(COUNTIFS(F:F,"Chef de secteur",H:H,"Cerdagne")&gt;0,
    _xlfn.TEXTJOIN(" / ",TRUE,_xlfn._xlws.FILTER(A:A,(F:F="Chef de secteur")*(H:H="Cerdagne"),"Non trouvé")),
    _xlfn.TEXTJOIN(" / ",TRUE,_xlfn._xlws.FILTER(A:A,(F:F="Chef de centre")*(H:H="Cerdagne"),"Non trouvé"))
)</f>
        <v>Non trouvé</v>
      </c>
    </row>
    <row r="8" spans="1:17" ht="20.100000000000001" customHeight="1" x14ac:dyDescent="0.25">
      <c r="A8" s="8" t="s">
        <v>51</v>
      </c>
      <c r="B8" s="8" t="s">
        <v>44</v>
      </c>
      <c r="C8" s="9" t="s">
        <v>278</v>
      </c>
      <c r="D8" s="10" t="s">
        <v>444</v>
      </c>
      <c r="E8" s="10" t="s">
        <v>616</v>
      </c>
      <c r="F8" s="9" t="s">
        <v>15</v>
      </c>
      <c r="G8" s="9" t="s">
        <v>15</v>
      </c>
      <c r="H8" s="9" t="s">
        <v>10</v>
      </c>
      <c r="I8" s="9" t="s">
        <v>35</v>
      </c>
      <c r="J8" s="9" t="s">
        <v>633</v>
      </c>
      <c r="K8" s="9" t="s">
        <v>634</v>
      </c>
      <c r="L8" s="9" t="s">
        <v>591</v>
      </c>
      <c r="M8" s="10">
        <v>25139</v>
      </c>
      <c r="N8" s="9">
        <f t="shared" ca="1" si="0"/>
        <v>57</v>
      </c>
      <c r="O8" s="10">
        <v>33147</v>
      </c>
      <c r="P8" s="9">
        <f t="shared" ca="1" si="1"/>
        <v>35</v>
      </c>
      <c r="Q8" s="9" t="str" cm="1">
        <f t="array" ref="Q8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9" spans="1:17" ht="20.100000000000001" customHeight="1" x14ac:dyDescent="0.25">
      <c r="A9" s="8" t="s">
        <v>635</v>
      </c>
      <c r="B9" s="8" t="s">
        <v>636</v>
      </c>
      <c r="C9" s="9" t="s">
        <v>313</v>
      </c>
      <c r="D9" s="10" t="s">
        <v>445</v>
      </c>
      <c r="E9" s="10"/>
      <c r="F9" s="9" t="s">
        <v>617</v>
      </c>
      <c r="G9" s="9" t="s">
        <v>601</v>
      </c>
      <c r="I9" s="9" t="s">
        <v>38</v>
      </c>
      <c r="J9" s="9" t="s">
        <v>637</v>
      </c>
      <c r="K9" s="9" t="s">
        <v>638</v>
      </c>
      <c r="M9" s="10">
        <v>23579</v>
      </c>
      <c r="N9" s="9">
        <f t="shared" ca="1" si="0"/>
        <v>61</v>
      </c>
      <c r="O9" s="10">
        <v>32020</v>
      </c>
      <c r="P9" s="9">
        <f t="shared" ca="1" si="1"/>
        <v>38</v>
      </c>
      <c r="Q9" s="9" t="str" cm="1">
        <f t="array" ref="Q9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10" spans="1:17" ht="20.100000000000001" customHeight="1" x14ac:dyDescent="0.25">
      <c r="A10" s="8" t="s">
        <v>639</v>
      </c>
      <c r="B10" s="8" t="s">
        <v>640</v>
      </c>
      <c r="C10" s="9" t="s">
        <v>641</v>
      </c>
      <c r="D10" s="10" t="s">
        <v>642</v>
      </c>
      <c r="E10" s="10" t="s">
        <v>616</v>
      </c>
      <c r="F10" s="9" t="s">
        <v>580</v>
      </c>
      <c r="G10" s="9" t="s">
        <v>607</v>
      </c>
      <c r="H10" s="9" t="s">
        <v>11</v>
      </c>
      <c r="I10" s="9" t="s">
        <v>33</v>
      </c>
      <c r="J10" s="9" t="s">
        <v>11</v>
      </c>
      <c r="L10" s="9" t="s">
        <v>643</v>
      </c>
      <c r="M10" s="10">
        <v>36273</v>
      </c>
      <c r="N10" s="9">
        <f t="shared" ca="1" si="0"/>
        <v>26</v>
      </c>
      <c r="O10" s="10">
        <v>43346</v>
      </c>
      <c r="P10" s="9">
        <f t="shared" ca="1" si="1"/>
        <v>7</v>
      </c>
      <c r="Q10" s="9" t="str" cm="1">
        <f t="array" ref="Q10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11" spans="1:17" ht="20.100000000000001" customHeight="1" x14ac:dyDescent="0.25">
      <c r="A11" s="8" t="s">
        <v>644</v>
      </c>
      <c r="B11" s="8" t="s">
        <v>645</v>
      </c>
      <c r="C11" s="9" t="s">
        <v>13</v>
      </c>
      <c r="D11" s="10" t="s">
        <v>447</v>
      </c>
      <c r="E11" s="10" t="s">
        <v>616</v>
      </c>
      <c r="F11" s="9" t="s">
        <v>617</v>
      </c>
      <c r="G11" s="9" t="s">
        <v>601</v>
      </c>
      <c r="I11" s="9" t="s">
        <v>30</v>
      </c>
      <c r="J11" s="9" t="s">
        <v>585</v>
      </c>
      <c r="M11" s="10">
        <v>30199</v>
      </c>
      <c r="N11" s="9">
        <f t="shared" ca="1" si="0"/>
        <v>43</v>
      </c>
      <c r="O11" s="10">
        <v>39174</v>
      </c>
      <c r="P11" s="9">
        <f t="shared" ca="1" si="1"/>
        <v>18</v>
      </c>
      <c r="Q11" s="9" t="str" cm="1">
        <f t="array" ref="Q11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12" spans="1:17" ht="20.100000000000001" customHeight="1" x14ac:dyDescent="0.25">
      <c r="A12" s="8" t="s">
        <v>648</v>
      </c>
      <c r="B12" s="8" t="s">
        <v>649</v>
      </c>
      <c r="C12" s="9" t="s">
        <v>327</v>
      </c>
      <c r="D12" s="10" t="s">
        <v>461</v>
      </c>
      <c r="E12" s="10" t="s">
        <v>616</v>
      </c>
      <c r="F12" s="9" t="s">
        <v>582</v>
      </c>
      <c r="G12" s="9" t="s">
        <v>602</v>
      </c>
      <c r="H12" s="9" t="s">
        <v>10</v>
      </c>
      <c r="I12" s="9" t="s">
        <v>33</v>
      </c>
      <c r="J12" s="9" t="s">
        <v>585</v>
      </c>
      <c r="K12" s="9" t="s">
        <v>650</v>
      </c>
      <c r="L12" s="9" t="s">
        <v>651</v>
      </c>
      <c r="M12" s="10">
        <v>27831</v>
      </c>
      <c r="N12" s="9">
        <f t="shared" ref="N12:N16" ca="1" si="2">DATEDIF(M12,TODAY(),"y")</f>
        <v>49</v>
      </c>
      <c r="O12" s="10">
        <v>43598</v>
      </c>
      <c r="P12" s="9">
        <f t="shared" ref="P12:P16" ca="1" si="3">DATEDIF(O12,TODAY(),"y")</f>
        <v>6</v>
      </c>
      <c r="Q12" s="9" t="str" cm="1">
        <f t="array" ref="Q12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13" spans="1:17" ht="20.100000000000001" customHeight="1" x14ac:dyDescent="0.25">
      <c r="A13" s="8" t="s">
        <v>52</v>
      </c>
      <c r="B13" s="8" t="s">
        <v>45</v>
      </c>
      <c r="C13" s="9" t="s">
        <v>292</v>
      </c>
      <c r="D13" s="10" t="s">
        <v>462</v>
      </c>
      <c r="E13" s="10" t="s">
        <v>616</v>
      </c>
      <c r="F13" s="9" t="s">
        <v>595</v>
      </c>
      <c r="G13" s="9" t="s">
        <v>609</v>
      </c>
      <c r="H13" s="9" t="s">
        <v>11</v>
      </c>
      <c r="I13" s="9" t="s">
        <v>35</v>
      </c>
      <c r="J13" s="9" t="s">
        <v>633</v>
      </c>
      <c r="K13" s="9" t="s">
        <v>652</v>
      </c>
      <c r="L13" s="9" t="s">
        <v>592</v>
      </c>
      <c r="M13" s="10">
        <v>27586</v>
      </c>
      <c r="N13" s="9">
        <f t="shared" ca="1" si="2"/>
        <v>50</v>
      </c>
      <c r="O13" s="10">
        <v>36661</v>
      </c>
      <c r="P13" s="9">
        <f t="shared" ca="1" si="3"/>
        <v>25</v>
      </c>
      <c r="Q13" s="9" t="str" cm="1">
        <f t="array" ref="Q13">_xlfn.TEXTJOIN(" / ",TRUE,_xlfn._xlws.FILTER(A:A,(F:F="Chef de centre")*(H:H="Thuir"),"Non trouvé"))</f>
        <v>016</v>
      </c>
    </row>
    <row r="14" spans="1:17" ht="20.100000000000001" customHeight="1" x14ac:dyDescent="0.25">
      <c r="A14" s="8" t="s">
        <v>658</v>
      </c>
      <c r="B14" s="8" t="s">
        <v>659</v>
      </c>
      <c r="C14" s="9" t="s">
        <v>293</v>
      </c>
      <c r="D14" s="10" t="s">
        <v>660</v>
      </c>
      <c r="E14" s="10" t="s">
        <v>616</v>
      </c>
      <c r="F14" s="9" t="s">
        <v>661</v>
      </c>
      <c r="G14" s="9" t="s">
        <v>602</v>
      </c>
      <c r="H14" s="9" t="s">
        <v>11</v>
      </c>
      <c r="I14" s="9" t="s">
        <v>35</v>
      </c>
      <c r="J14" s="9" t="s">
        <v>624</v>
      </c>
      <c r="K14" s="9" t="s">
        <v>662</v>
      </c>
      <c r="L14" s="9" t="s">
        <v>663</v>
      </c>
      <c r="M14" s="10">
        <v>30897</v>
      </c>
      <c r="N14" s="9">
        <f t="shared" ca="1" si="2"/>
        <v>41</v>
      </c>
      <c r="O14" s="10">
        <v>39391</v>
      </c>
      <c r="P14" s="9">
        <f t="shared" ca="1" si="3"/>
        <v>18</v>
      </c>
      <c r="Q14" s="9" t="str" cm="1">
        <f t="array" ref="Q14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15" spans="1:17" ht="20.100000000000001" customHeight="1" x14ac:dyDescent="0.25">
      <c r="A15" s="8" t="s">
        <v>53</v>
      </c>
      <c r="B15" s="8" t="s">
        <v>46</v>
      </c>
      <c r="C15" s="9" t="s">
        <v>287</v>
      </c>
      <c r="D15" s="10" t="s">
        <v>503</v>
      </c>
      <c r="E15" s="10" t="s">
        <v>616</v>
      </c>
      <c r="F15" s="9" t="s">
        <v>661</v>
      </c>
      <c r="G15" s="9" t="s">
        <v>602</v>
      </c>
      <c r="H15" s="9" t="s">
        <v>11</v>
      </c>
      <c r="I15" s="9" t="s">
        <v>35</v>
      </c>
      <c r="J15" s="9" t="s">
        <v>664</v>
      </c>
      <c r="K15" s="9" t="s">
        <v>665</v>
      </c>
      <c r="L15" s="9" t="s">
        <v>593</v>
      </c>
      <c r="M15" s="10">
        <v>24100</v>
      </c>
      <c r="N15" s="9">
        <f t="shared" ca="1" si="2"/>
        <v>60</v>
      </c>
      <c r="O15" s="10">
        <v>43794</v>
      </c>
      <c r="P15" s="9">
        <f t="shared" ca="1" si="3"/>
        <v>6</v>
      </c>
      <c r="Q15" s="9" t="str" cm="1">
        <f t="array" ref="Q15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16" spans="1:17" ht="20.100000000000001" customHeight="1" x14ac:dyDescent="0.25">
      <c r="A16" s="8" t="s">
        <v>666</v>
      </c>
      <c r="B16" s="8" t="s">
        <v>667</v>
      </c>
      <c r="C16" s="9" t="s">
        <v>299</v>
      </c>
      <c r="D16" s="10" t="s">
        <v>504</v>
      </c>
      <c r="E16" s="10" t="s">
        <v>616</v>
      </c>
      <c r="F16" s="9" t="s">
        <v>596</v>
      </c>
      <c r="G16" s="9" t="s">
        <v>607</v>
      </c>
      <c r="H16" s="9" t="s">
        <v>10</v>
      </c>
      <c r="I16" s="9" t="s">
        <v>33</v>
      </c>
      <c r="J16" s="9" t="s">
        <v>10</v>
      </c>
      <c r="K16" s="9" t="s">
        <v>668</v>
      </c>
      <c r="L16" s="9" t="s">
        <v>669</v>
      </c>
      <c r="M16" s="10">
        <v>29360</v>
      </c>
      <c r="N16" s="9">
        <f t="shared" ca="1" si="2"/>
        <v>45</v>
      </c>
      <c r="O16" s="10">
        <v>37021</v>
      </c>
      <c r="P16" s="9">
        <f t="shared" ca="1" si="3"/>
        <v>24</v>
      </c>
      <c r="Q16" s="9" t="str" cm="1">
        <f t="array" ref="Q16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17" spans="1:17" ht="20.100000000000001" customHeight="1" x14ac:dyDescent="0.25">
      <c r="A17" s="8" t="s">
        <v>671</v>
      </c>
      <c r="B17" s="8" t="s">
        <v>672</v>
      </c>
      <c r="C17" s="9" t="s">
        <v>367</v>
      </c>
      <c r="D17" s="10" t="s">
        <v>519</v>
      </c>
      <c r="E17" s="10" t="s">
        <v>616</v>
      </c>
      <c r="F17" s="9" t="s">
        <v>580</v>
      </c>
      <c r="G17" s="9" t="s">
        <v>607</v>
      </c>
      <c r="H17" s="9" t="s">
        <v>12</v>
      </c>
      <c r="I17" s="9" t="s">
        <v>33</v>
      </c>
      <c r="J17" s="9" t="s">
        <v>670</v>
      </c>
      <c r="K17" s="9" t="s">
        <v>673</v>
      </c>
      <c r="L17" s="9" t="s">
        <v>594</v>
      </c>
      <c r="M17" s="10">
        <v>33364</v>
      </c>
      <c r="N17" s="9">
        <f t="shared" ref="N17:N43" ca="1" si="4">DATEDIF(M17,TODAY(),"y")</f>
        <v>34</v>
      </c>
      <c r="O17" s="10">
        <v>40422</v>
      </c>
      <c r="P17" s="9">
        <f t="shared" ref="P17:P43" ca="1" si="5">DATEDIF(O17,TODAY(),"y")</f>
        <v>15</v>
      </c>
      <c r="Q17" s="9" t="str" cm="1">
        <f t="array" ref="Q17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18" spans="1:17" ht="20.100000000000001" customHeight="1" x14ac:dyDescent="0.25">
      <c r="A18" s="8" t="s">
        <v>54</v>
      </c>
      <c r="B18" s="8" t="s">
        <v>47</v>
      </c>
      <c r="C18" s="9" t="s">
        <v>16</v>
      </c>
      <c r="D18" s="10" t="s">
        <v>519</v>
      </c>
      <c r="E18" s="10" t="s">
        <v>616</v>
      </c>
      <c r="F18" s="9" t="s">
        <v>596</v>
      </c>
      <c r="G18" s="9" t="s">
        <v>607</v>
      </c>
      <c r="H18" s="9" t="s">
        <v>11</v>
      </c>
      <c r="I18" s="9" t="s">
        <v>33</v>
      </c>
      <c r="J18" s="9" t="s">
        <v>655</v>
      </c>
      <c r="K18" s="9" t="s">
        <v>674</v>
      </c>
      <c r="L18" s="9" t="s">
        <v>675</v>
      </c>
      <c r="M18" s="10">
        <v>24095</v>
      </c>
      <c r="N18" s="9">
        <f t="shared" ca="1" si="4"/>
        <v>60</v>
      </c>
      <c r="O18" s="10">
        <v>32748</v>
      </c>
      <c r="P18" s="9">
        <f t="shared" ca="1" si="5"/>
        <v>36</v>
      </c>
      <c r="Q18" s="9" t="str" cm="1">
        <f t="array" ref="Q18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19" spans="1:17" ht="20.100000000000001" customHeight="1" x14ac:dyDescent="0.25">
      <c r="A19" s="8" t="s">
        <v>676</v>
      </c>
      <c r="B19" s="8" t="s">
        <v>677</v>
      </c>
      <c r="C19" s="9" t="s">
        <v>14</v>
      </c>
      <c r="D19" s="10" t="s">
        <v>524</v>
      </c>
      <c r="E19" s="10" t="s">
        <v>616</v>
      </c>
      <c r="F19" s="9" t="s">
        <v>580</v>
      </c>
      <c r="G19" s="9" t="s">
        <v>607</v>
      </c>
      <c r="H19" s="9" t="s">
        <v>11</v>
      </c>
      <c r="I19" s="9" t="s">
        <v>33</v>
      </c>
      <c r="J19" s="9" t="s">
        <v>611</v>
      </c>
      <c r="K19" s="9" t="s">
        <v>678</v>
      </c>
      <c r="L19" s="9" t="s">
        <v>679</v>
      </c>
      <c r="M19" s="10">
        <v>28972</v>
      </c>
      <c r="N19" s="9">
        <f t="shared" ca="1" si="4"/>
        <v>46</v>
      </c>
      <c r="O19" s="10">
        <v>43234</v>
      </c>
      <c r="P19" s="9">
        <f t="shared" ca="1" si="5"/>
        <v>7</v>
      </c>
      <c r="Q19" s="9" t="str" cm="1">
        <f t="array" ref="Q19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20" spans="1:17" ht="20.100000000000001" customHeight="1" x14ac:dyDescent="0.25">
      <c r="A20" s="8" t="s">
        <v>680</v>
      </c>
      <c r="B20" s="8" t="s">
        <v>681</v>
      </c>
      <c r="C20" s="9" t="s">
        <v>275</v>
      </c>
      <c r="D20" s="10" t="s">
        <v>525</v>
      </c>
      <c r="E20" s="10" t="s">
        <v>616</v>
      </c>
      <c r="F20" s="9" t="s">
        <v>604</v>
      </c>
      <c r="G20" s="9" t="s">
        <v>601</v>
      </c>
      <c r="I20" s="9" t="s">
        <v>30</v>
      </c>
      <c r="J20" s="9" t="s">
        <v>682</v>
      </c>
      <c r="K20" s="9" t="s">
        <v>683</v>
      </c>
      <c r="L20" s="9" t="s">
        <v>684</v>
      </c>
      <c r="M20" s="10">
        <v>24649</v>
      </c>
      <c r="N20" s="9">
        <f t="shared" ca="1" si="4"/>
        <v>58</v>
      </c>
      <c r="O20" s="10">
        <v>39097</v>
      </c>
      <c r="P20" s="9">
        <f t="shared" ca="1" si="5"/>
        <v>19</v>
      </c>
      <c r="Q20" s="9" t="str" cm="1">
        <f t="array" ref="Q20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21" spans="1:17" ht="20.100000000000001" customHeight="1" x14ac:dyDescent="0.25">
      <c r="A21" s="8" t="s">
        <v>685</v>
      </c>
      <c r="B21" s="8" t="s">
        <v>686</v>
      </c>
      <c r="C21" s="9" t="s">
        <v>378</v>
      </c>
      <c r="D21" s="10" t="s">
        <v>533</v>
      </c>
      <c r="E21" s="10" t="s">
        <v>616</v>
      </c>
      <c r="F21" s="9" t="s">
        <v>580</v>
      </c>
      <c r="G21" s="9" t="s">
        <v>607</v>
      </c>
      <c r="H21" s="9" t="s">
        <v>11</v>
      </c>
      <c r="I21" s="9" t="s">
        <v>33</v>
      </c>
      <c r="J21" s="9" t="s">
        <v>653</v>
      </c>
      <c r="K21" s="9" t="s">
        <v>687</v>
      </c>
      <c r="L21" s="9" t="s">
        <v>688</v>
      </c>
      <c r="M21" s="10">
        <v>27751</v>
      </c>
      <c r="N21" s="9">
        <f t="shared" ca="1" si="4"/>
        <v>50</v>
      </c>
      <c r="O21" s="10">
        <v>36780</v>
      </c>
      <c r="P21" s="9">
        <f t="shared" ca="1" si="5"/>
        <v>25</v>
      </c>
      <c r="Q21" s="9" t="str" cm="1">
        <f t="array" ref="Q21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22" spans="1:17" ht="19.5" customHeight="1" x14ac:dyDescent="0.25">
      <c r="A22" s="8" t="s">
        <v>689</v>
      </c>
      <c r="B22" s="8" t="s">
        <v>690</v>
      </c>
      <c r="C22" s="9" t="s">
        <v>285</v>
      </c>
      <c r="D22" s="10" t="s">
        <v>534</v>
      </c>
      <c r="E22" s="10"/>
      <c r="F22" s="9" t="s">
        <v>606</v>
      </c>
      <c r="G22" s="9" t="s">
        <v>601</v>
      </c>
      <c r="I22" s="9" t="s">
        <v>37</v>
      </c>
      <c r="J22" s="9" t="s">
        <v>603</v>
      </c>
      <c r="M22" s="10">
        <v>38938</v>
      </c>
      <c r="N22" s="9">
        <f t="shared" ca="1" si="4"/>
        <v>19</v>
      </c>
      <c r="O22" s="10">
        <v>45537</v>
      </c>
      <c r="P22" s="9">
        <f t="shared" ca="1" si="5"/>
        <v>1</v>
      </c>
      <c r="Q22" s="9" t="str" cm="1">
        <f t="array" ref="Q22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23" spans="1:17" ht="20.100000000000001" customHeight="1" x14ac:dyDescent="0.25">
      <c r="A23" s="8" t="s">
        <v>691</v>
      </c>
      <c r="B23" s="8" t="s">
        <v>692</v>
      </c>
      <c r="C23" s="9" t="s">
        <v>286</v>
      </c>
      <c r="D23" s="10" t="s">
        <v>535</v>
      </c>
      <c r="E23" s="10" t="s">
        <v>616</v>
      </c>
      <c r="F23" s="9" t="s">
        <v>617</v>
      </c>
      <c r="G23" s="9" t="s">
        <v>601</v>
      </c>
      <c r="I23" s="9" t="s">
        <v>30</v>
      </c>
      <c r="J23" s="9" t="s">
        <v>693</v>
      </c>
      <c r="M23" s="10">
        <v>28543</v>
      </c>
      <c r="N23" s="9">
        <f t="shared" ca="1" si="4"/>
        <v>47</v>
      </c>
      <c r="O23" s="10">
        <v>38964</v>
      </c>
      <c r="P23" s="9">
        <f t="shared" ca="1" si="5"/>
        <v>19</v>
      </c>
      <c r="Q23" s="9" t="str" cm="1">
        <f t="array" ref="Q23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24" spans="1:17" ht="20.100000000000001" customHeight="1" x14ac:dyDescent="0.25">
      <c r="A24" s="8" t="s">
        <v>694</v>
      </c>
      <c r="B24" s="8" t="s">
        <v>695</v>
      </c>
      <c r="C24" s="9" t="s">
        <v>333</v>
      </c>
      <c r="D24" s="10" t="s">
        <v>536</v>
      </c>
      <c r="E24" s="10" t="s">
        <v>616</v>
      </c>
      <c r="F24" s="9" t="s">
        <v>696</v>
      </c>
      <c r="G24" s="9" t="s">
        <v>602</v>
      </c>
      <c r="H24" s="9" t="s">
        <v>11</v>
      </c>
      <c r="I24" s="9" t="s">
        <v>35</v>
      </c>
      <c r="J24" s="9" t="s">
        <v>10</v>
      </c>
      <c r="K24" s="9" t="s">
        <v>697</v>
      </c>
      <c r="L24" s="9" t="s">
        <v>698</v>
      </c>
      <c r="M24" s="10">
        <v>31249</v>
      </c>
      <c r="N24" s="9">
        <f t="shared" ca="1" si="4"/>
        <v>40</v>
      </c>
      <c r="O24" s="10">
        <v>42499</v>
      </c>
      <c r="P24" s="9">
        <f t="shared" ca="1" si="5"/>
        <v>9</v>
      </c>
      <c r="Q24" s="9" t="str" cm="1">
        <f t="array" ref="Q24">IF(COUNTIFS(F:F,"Chef d'agence",H:H,"Thuir")&gt;0,
    _xlfn.TEXTJOIN(" / ",TRUE,_xlfn._xlws.FILTER(A:A,(F:F="Chef d'agence")*(H:H="Thuir"),"Non trouvé")),
    _xlfn.TEXTJOIN(" / ",TRUE,_xlfn._xlws.FILTER(A:A,(F:F="Directeur d'agence")*(H:H="Thuir"),"Non trouvé"))
)</f>
        <v>011</v>
      </c>
    </row>
    <row r="25" spans="1:17" ht="20.100000000000001" customHeight="1" x14ac:dyDescent="0.25">
      <c r="A25" s="8" t="s">
        <v>699</v>
      </c>
      <c r="B25" s="8" t="s">
        <v>700</v>
      </c>
      <c r="C25" s="9" t="s">
        <v>348</v>
      </c>
      <c r="D25" s="10" t="s">
        <v>537</v>
      </c>
      <c r="E25" s="10" t="s">
        <v>616</v>
      </c>
      <c r="F25" s="9" t="s">
        <v>617</v>
      </c>
      <c r="G25" s="9" t="s">
        <v>601</v>
      </c>
      <c r="I25" s="9" t="s">
        <v>30</v>
      </c>
      <c r="J25" s="9" t="s">
        <v>585</v>
      </c>
      <c r="M25" s="10">
        <v>30926</v>
      </c>
      <c r="N25" s="9">
        <f t="shared" ca="1" si="4"/>
        <v>41</v>
      </c>
      <c r="O25" s="10">
        <v>43010</v>
      </c>
      <c r="P25" s="9">
        <f t="shared" ca="1" si="5"/>
        <v>8</v>
      </c>
      <c r="Q25" s="9" t="str" cm="1">
        <f t="array" ref="Q25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26" spans="1:17" ht="20.100000000000001" customHeight="1" x14ac:dyDescent="0.25">
      <c r="A26" s="8" t="s">
        <v>701</v>
      </c>
      <c r="B26" s="8" t="s">
        <v>702</v>
      </c>
      <c r="C26" s="9" t="s">
        <v>7</v>
      </c>
      <c r="D26" s="10" t="s">
        <v>538</v>
      </c>
      <c r="E26" s="10"/>
      <c r="F26" s="9" t="s">
        <v>703</v>
      </c>
      <c r="G26" s="9" t="s">
        <v>615</v>
      </c>
      <c r="H26" s="9" t="s">
        <v>12</v>
      </c>
      <c r="I26" s="9" t="s">
        <v>33</v>
      </c>
      <c r="J26" s="9" t="s">
        <v>10</v>
      </c>
      <c r="K26" s="9" t="s">
        <v>704</v>
      </c>
      <c r="L26" s="9" t="s">
        <v>705</v>
      </c>
      <c r="M26" s="10">
        <v>36859</v>
      </c>
      <c r="N26" s="9">
        <f t="shared" ca="1" si="4"/>
        <v>25</v>
      </c>
      <c r="O26" s="10">
        <v>44470</v>
      </c>
      <c r="P26" s="9">
        <f t="shared" ca="1" si="5"/>
        <v>4</v>
      </c>
      <c r="Q26" s="9" t="str" cm="1">
        <f t="array" ref="Q26">_xlfn.TEXTJOIN(" / ",TRUE,_xlfn._xlws.FILTER(A:A,(F:F="Chef de carrière")*(H:H="Cerdagne"),"Non trouvé"))</f>
        <v>Non trouvé</v>
      </c>
    </row>
    <row r="27" spans="1:17" ht="20.100000000000001" customHeight="1" x14ac:dyDescent="0.25">
      <c r="A27" s="8" t="s">
        <v>706</v>
      </c>
      <c r="B27" s="8" t="s">
        <v>707</v>
      </c>
      <c r="C27" s="9" t="s">
        <v>328</v>
      </c>
      <c r="D27" s="10" t="s">
        <v>547</v>
      </c>
      <c r="E27" s="10" t="s">
        <v>616</v>
      </c>
      <c r="F27" s="9" t="s">
        <v>15</v>
      </c>
      <c r="G27" s="9" t="s">
        <v>15</v>
      </c>
      <c r="H27" s="9" t="s">
        <v>10</v>
      </c>
      <c r="I27" s="9" t="s">
        <v>35</v>
      </c>
      <c r="J27" s="9" t="s">
        <v>708</v>
      </c>
      <c r="K27" s="9" t="s">
        <v>709</v>
      </c>
      <c r="L27" s="9" t="s">
        <v>710</v>
      </c>
      <c r="M27" s="10">
        <v>25099</v>
      </c>
      <c r="N27" s="9">
        <f t="shared" ca="1" si="4"/>
        <v>57</v>
      </c>
      <c r="O27" s="10">
        <v>42887</v>
      </c>
      <c r="P27" s="9">
        <f t="shared" ca="1" si="5"/>
        <v>8</v>
      </c>
      <c r="Q27" s="9" t="str" cm="1">
        <f t="array" ref="Q27">IF(COUNTIFS(F:F,"Chef de secteur",H:H,"Perpignan")&gt;0,
    _xlfn.TEXTJOIN(" / ",TRUE,_xlfn._xlws.FILTER(A:A,(F:F="Chef de secteur")*(H:H="Perpignan"),"Non trouvé")),
    _xlfn.TEXTJOIN(" / ",TRUE,_xlfn._xlws.FILTER(A:A,(F:F="Chef de centre")*(H:H="Perpignan"),"Non trouvé"))
)</f>
        <v>182</v>
      </c>
    </row>
    <row r="28" spans="1:17" ht="20.100000000000001" customHeight="1" x14ac:dyDescent="0.25">
      <c r="A28" s="8" t="s">
        <v>711</v>
      </c>
      <c r="B28" s="8" t="s">
        <v>712</v>
      </c>
      <c r="C28" s="9" t="s">
        <v>315</v>
      </c>
      <c r="D28" s="10" t="s">
        <v>548</v>
      </c>
      <c r="E28" s="10" t="s">
        <v>616</v>
      </c>
      <c r="F28" s="9" t="s">
        <v>580</v>
      </c>
      <c r="G28" s="9" t="s">
        <v>607</v>
      </c>
      <c r="H28" s="9" t="s">
        <v>11</v>
      </c>
      <c r="I28" s="9" t="s">
        <v>33</v>
      </c>
      <c r="J28" s="9" t="s">
        <v>657</v>
      </c>
      <c r="K28" s="9" t="s">
        <v>713</v>
      </c>
      <c r="L28" s="9" t="s">
        <v>714</v>
      </c>
      <c r="M28" s="10">
        <v>28524</v>
      </c>
      <c r="N28" s="9">
        <f t="shared" ca="1" si="4"/>
        <v>48</v>
      </c>
      <c r="O28" s="10">
        <v>37077</v>
      </c>
      <c r="P28" s="9">
        <f t="shared" ca="1" si="5"/>
        <v>24</v>
      </c>
      <c r="Q28" s="9" t="str" cm="1">
        <f t="array" ref="Q28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29" spans="1:17" ht="20.100000000000001" customHeight="1" x14ac:dyDescent="0.25">
      <c r="A29" s="8" t="s">
        <v>715</v>
      </c>
      <c r="B29" s="8" t="s">
        <v>716</v>
      </c>
      <c r="C29" s="9" t="s">
        <v>341</v>
      </c>
      <c r="D29" s="10" t="s">
        <v>549</v>
      </c>
      <c r="E29" s="10" t="s">
        <v>616</v>
      </c>
      <c r="F29" s="9" t="s">
        <v>580</v>
      </c>
      <c r="G29" s="9" t="s">
        <v>607</v>
      </c>
      <c r="H29" s="9" t="s">
        <v>10</v>
      </c>
      <c r="I29" s="9" t="s">
        <v>33</v>
      </c>
      <c r="J29" s="9" t="s">
        <v>620</v>
      </c>
      <c r="K29" s="9" t="s">
        <v>717</v>
      </c>
      <c r="L29" s="9" t="s">
        <v>718</v>
      </c>
      <c r="M29" s="10">
        <v>27230</v>
      </c>
      <c r="N29" s="9">
        <f t="shared" ca="1" si="4"/>
        <v>51</v>
      </c>
      <c r="O29" s="10">
        <v>36039</v>
      </c>
      <c r="P29" s="9">
        <f t="shared" ca="1" si="5"/>
        <v>27</v>
      </c>
      <c r="Q29" s="9" t="str" cm="1">
        <f t="array" ref="Q29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30" spans="1:17" ht="20.100000000000001" customHeight="1" x14ac:dyDescent="0.25">
      <c r="A30" s="8" t="s">
        <v>719</v>
      </c>
      <c r="B30" s="8" t="s">
        <v>720</v>
      </c>
      <c r="C30" s="9" t="s">
        <v>289</v>
      </c>
      <c r="D30" s="10" t="s">
        <v>550</v>
      </c>
      <c r="E30" s="10" t="s">
        <v>616</v>
      </c>
      <c r="F30" s="9" t="s">
        <v>617</v>
      </c>
      <c r="G30" s="9" t="s">
        <v>601</v>
      </c>
      <c r="I30" s="9" t="s">
        <v>30</v>
      </c>
      <c r="J30" s="9" t="s">
        <v>656</v>
      </c>
      <c r="M30" s="10">
        <v>30442</v>
      </c>
      <c r="N30" s="9">
        <f t="shared" ca="1" si="4"/>
        <v>42</v>
      </c>
      <c r="O30" s="10">
        <v>38096</v>
      </c>
      <c r="P30" s="9">
        <f t="shared" ca="1" si="5"/>
        <v>21</v>
      </c>
      <c r="Q30" s="9" t="str" cm="1">
        <f t="array" ref="Q30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1" spans="1:17" ht="20.100000000000001" customHeight="1" x14ac:dyDescent="0.25">
      <c r="A31" s="8" t="s">
        <v>721</v>
      </c>
      <c r="B31" s="8" t="s">
        <v>722</v>
      </c>
      <c r="C31" s="9" t="s">
        <v>367</v>
      </c>
      <c r="D31" s="10" t="s">
        <v>551</v>
      </c>
      <c r="E31" s="10" t="s">
        <v>616</v>
      </c>
      <c r="F31" s="9" t="s">
        <v>646</v>
      </c>
      <c r="G31" s="9" t="s">
        <v>601</v>
      </c>
      <c r="I31" s="9" t="s">
        <v>30</v>
      </c>
      <c r="J31" s="9" t="s">
        <v>624</v>
      </c>
      <c r="M31" s="10">
        <v>33710</v>
      </c>
      <c r="N31" s="9">
        <f t="shared" ca="1" si="4"/>
        <v>33</v>
      </c>
      <c r="O31" s="10">
        <v>43473</v>
      </c>
      <c r="P31" s="9">
        <f t="shared" ca="1" si="5"/>
        <v>7</v>
      </c>
      <c r="Q31" s="9" t="str" cm="1">
        <f t="array" ref="Q31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2" spans="1:17" ht="20.100000000000001" customHeight="1" x14ac:dyDescent="0.25">
      <c r="A32" s="8" t="s">
        <v>723</v>
      </c>
      <c r="B32" s="8" t="s">
        <v>724</v>
      </c>
      <c r="C32" s="9" t="s">
        <v>350</v>
      </c>
      <c r="D32" s="10" t="s">
        <v>551</v>
      </c>
      <c r="E32" s="10" t="s">
        <v>616</v>
      </c>
      <c r="F32" s="9" t="s">
        <v>595</v>
      </c>
      <c r="G32" s="9" t="s">
        <v>609</v>
      </c>
      <c r="H32" s="9" t="s">
        <v>10</v>
      </c>
      <c r="I32" s="9" t="s">
        <v>35</v>
      </c>
      <c r="J32" s="9" t="s">
        <v>725</v>
      </c>
      <c r="K32" s="9" t="s">
        <v>726</v>
      </c>
      <c r="L32" s="9" t="s">
        <v>727</v>
      </c>
      <c r="M32" s="10">
        <v>30130</v>
      </c>
      <c r="N32" s="9">
        <f t="shared" ca="1" si="4"/>
        <v>43</v>
      </c>
      <c r="O32" s="10">
        <v>37865</v>
      </c>
      <c r="P32" s="9">
        <f t="shared" ca="1" si="5"/>
        <v>22</v>
      </c>
      <c r="Q32" s="9" t="str" cm="1">
        <f t="array" ref="Q32">_xlfn.TEXTJOIN(" / ",TRUE,_xlfn._xlws.FILTER(A:A,(F:F="Chef de centre")*(H:H="Perpignan"),"Non trouvé"))</f>
        <v>024</v>
      </c>
    </row>
    <row r="33" spans="1:17" ht="20.100000000000001" customHeight="1" x14ac:dyDescent="0.25">
      <c r="A33" s="8" t="s">
        <v>728</v>
      </c>
      <c r="B33" s="8" t="s">
        <v>729</v>
      </c>
      <c r="C33" s="9" t="s">
        <v>13</v>
      </c>
      <c r="D33" s="10" t="s">
        <v>551</v>
      </c>
      <c r="E33" s="10" t="s">
        <v>616</v>
      </c>
      <c r="F33" s="9" t="s">
        <v>646</v>
      </c>
      <c r="G33" s="9" t="s">
        <v>601</v>
      </c>
      <c r="I33" s="9" t="s">
        <v>30</v>
      </c>
      <c r="J33" s="9" t="s">
        <v>730</v>
      </c>
      <c r="M33" s="10">
        <v>30630</v>
      </c>
      <c r="N33" s="9">
        <f t="shared" ca="1" si="4"/>
        <v>42</v>
      </c>
      <c r="O33" s="10">
        <v>38596</v>
      </c>
      <c r="P33" s="9">
        <f t="shared" ca="1" si="5"/>
        <v>20</v>
      </c>
      <c r="Q33" s="9" t="str" cm="1">
        <f t="array" ref="Q33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4" spans="1:17" ht="20.100000000000001" customHeight="1" x14ac:dyDescent="0.25">
      <c r="A34" s="8" t="s">
        <v>731</v>
      </c>
      <c r="B34" s="8" t="s">
        <v>732</v>
      </c>
      <c r="C34" s="9" t="s">
        <v>368</v>
      </c>
      <c r="D34" s="10" t="s">
        <v>551</v>
      </c>
      <c r="E34" s="10" t="s">
        <v>616</v>
      </c>
      <c r="F34" s="9" t="s">
        <v>600</v>
      </c>
      <c r="G34" s="9" t="s">
        <v>601</v>
      </c>
      <c r="I34" s="9" t="s">
        <v>30</v>
      </c>
      <c r="J34" s="9" t="s">
        <v>11</v>
      </c>
      <c r="M34" s="10">
        <v>25005</v>
      </c>
      <c r="N34" s="9">
        <f t="shared" ca="1" si="4"/>
        <v>57</v>
      </c>
      <c r="O34" s="10">
        <v>37316</v>
      </c>
      <c r="P34" s="9">
        <f t="shared" ca="1" si="5"/>
        <v>23</v>
      </c>
      <c r="Q34" s="9" t="str" cm="1">
        <f t="array" ref="Q34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5" spans="1:17" ht="20.100000000000001" customHeight="1" x14ac:dyDescent="0.25">
      <c r="A35" s="8" t="s">
        <v>733</v>
      </c>
      <c r="B35" s="8" t="s">
        <v>734</v>
      </c>
      <c r="C35" s="9" t="s">
        <v>381</v>
      </c>
      <c r="D35" s="10" t="s">
        <v>552</v>
      </c>
      <c r="E35" s="10" t="s">
        <v>616</v>
      </c>
      <c r="F35" s="9" t="s">
        <v>617</v>
      </c>
      <c r="G35" s="9" t="s">
        <v>601</v>
      </c>
      <c r="I35" s="9" t="s">
        <v>30</v>
      </c>
      <c r="J35" s="9" t="s">
        <v>11</v>
      </c>
      <c r="M35" s="10">
        <v>26085</v>
      </c>
      <c r="N35" s="9">
        <f t="shared" ca="1" si="4"/>
        <v>54</v>
      </c>
      <c r="O35" s="10">
        <v>38596</v>
      </c>
      <c r="P35" s="9">
        <f t="shared" ca="1" si="5"/>
        <v>20</v>
      </c>
      <c r="Q35" s="9" t="str" cm="1">
        <f t="array" ref="Q35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6" spans="1:17" ht="20.100000000000001" customHeight="1" x14ac:dyDescent="0.25">
      <c r="A36" s="8" t="s">
        <v>735</v>
      </c>
      <c r="B36" s="8" t="s">
        <v>736</v>
      </c>
      <c r="C36" s="9" t="s">
        <v>737</v>
      </c>
      <c r="D36" s="10" t="s">
        <v>738</v>
      </c>
      <c r="E36" s="10"/>
      <c r="F36" s="9" t="s">
        <v>608</v>
      </c>
      <c r="G36" s="9" t="s">
        <v>601</v>
      </c>
      <c r="I36" s="9" t="s">
        <v>30</v>
      </c>
      <c r="J36" s="9" t="s">
        <v>739</v>
      </c>
      <c r="M36" s="10">
        <v>30777</v>
      </c>
      <c r="N36" s="9">
        <f t="shared" ca="1" si="4"/>
        <v>41</v>
      </c>
      <c r="O36" s="10">
        <v>45748</v>
      </c>
      <c r="P36" s="9">
        <f t="shared" ca="1" si="5"/>
        <v>0</v>
      </c>
      <c r="Q36" s="9" t="str" cm="1">
        <f t="array" ref="Q36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7" spans="1:17" ht="20.100000000000001" customHeight="1" x14ac:dyDescent="0.25">
      <c r="A37" s="8" t="s">
        <v>740</v>
      </c>
      <c r="B37" s="8" t="s">
        <v>741</v>
      </c>
      <c r="C37" s="9" t="s">
        <v>383</v>
      </c>
      <c r="D37" s="10" t="s">
        <v>554</v>
      </c>
      <c r="E37" s="10" t="s">
        <v>616</v>
      </c>
      <c r="F37" s="9" t="s">
        <v>600</v>
      </c>
      <c r="G37" s="9" t="s">
        <v>601</v>
      </c>
      <c r="I37" s="9" t="s">
        <v>30</v>
      </c>
      <c r="J37" s="9" t="s">
        <v>654</v>
      </c>
      <c r="M37" s="10">
        <v>26538</v>
      </c>
      <c r="N37" s="9">
        <f t="shared" ca="1" si="4"/>
        <v>53</v>
      </c>
      <c r="O37" s="10">
        <v>37500</v>
      </c>
      <c r="P37" s="9">
        <f t="shared" ca="1" si="5"/>
        <v>23</v>
      </c>
      <c r="Q37" s="9" t="str" cm="1">
        <f t="array" ref="Q37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8" spans="1:17" ht="20.100000000000001" customHeight="1" x14ac:dyDescent="0.25">
      <c r="A38" s="8" t="s">
        <v>742</v>
      </c>
      <c r="B38" s="8" t="s">
        <v>743</v>
      </c>
      <c r="C38" s="9" t="s">
        <v>298</v>
      </c>
      <c r="D38" s="10" t="s">
        <v>555</v>
      </c>
      <c r="E38" s="10" t="s">
        <v>616</v>
      </c>
      <c r="F38" s="9" t="s">
        <v>617</v>
      </c>
      <c r="G38" s="9" t="s">
        <v>601</v>
      </c>
      <c r="I38" s="9" t="s">
        <v>30</v>
      </c>
      <c r="J38" s="9" t="s">
        <v>744</v>
      </c>
      <c r="M38" s="10">
        <v>23984</v>
      </c>
      <c r="N38" s="9">
        <f t="shared" ca="1" si="4"/>
        <v>60</v>
      </c>
      <c r="O38" s="10">
        <v>34232</v>
      </c>
      <c r="P38" s="9">
        <f t="shared" ca="1" si="5"/>
        <v>32</v>
      </c>
      <c r="Q38" s="9" t="str" cm="1">
        <f t="array" ref="Q38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39" spans="1:17" ht="20.100000000000001" customHeight="1" x14ac:dyDescent="0.25">
      <c r="A39" s="8" t="s">
        <v>745</v>
      </c>
      <c r="B39" s="8" t="s">
        <v>746</v>
      </c>
      <c r="C39" s="9" t="s">
        <v>384</v>
      </c>
      <c r="D39" s="10" t="s">
        <v>556</v>
      </c>
      <c r="E39" s="10" t="s">
        <v>616</v>
      </c>
      <c r="F39" s="9" t="s">
        <v>612</v>
      </c>
      <c r="G39" s="9" t="s">
        <v>601</v>
      </c>
      <c r="I39" s="9" t="s">
        <v>30</v>
      </c>
      <c r="J39" s="9" t="s">
        <v>627</v>
      </c>
      <c r="M39" s="10">
        <v>34764</v>
      </c>
      <c r="N39" s="9">
        <f t="shared" ca="1" si="4"/>
        <v>30</v>
      </c>
      <c r="O39" s="10">
        <v>45019</v>
      </c>
      <c r="P39" s="9">
        <f t="shared" ca="1" si="5"/>
        <v>2</v>
      </c>
      <c r="Q39" s="9" t="str" cm="1">
        <f t="array" ref="Q39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0" spans="1:17" ht="20.100000000000001" customHeight="1" x14ac:dyDescent="0.25">
      <c r="A40" s="8" t="s">
        <v>747</v>
      </c>
      <c r="B40" s="8" t="s">
        <v>748</v>
      </c>
      <c r="C40" s="9" t="s">
        <v>385</v>
      </c>
      <c r="D40" s="10" t="s">
        <v>557</v>
      </c>
      <c r="E40" s="10"/>
      <c r="F40" s="9" t="s">
        <v>606</v>
      </c>
      <c r="G40" s="9" t="s">
        <v>601</v>
      </c>
      <c r="I40" s="9" t="s">
        <v>36</v>
      </c>
      <c r="J40" s="9" t="s">
        <v>585</v>
      </c>
      <c r="K40" s="9" t="s">
        <v>749</v>
      </c>
      <c r="L40" s="9" t="s">
        <v>750</v>
      </c>
      <c r="M40" s="10">
        <v>38869</v>
      </c>
      <c r="N40" s="9">
        <f t="shared" ca="1" si="4"/>
        <v>19</v>
      </c>
      <c r="O40" s="10">
        <v>45551</v>
      </c>
      <c r="P40" s="9">
        <f t="shared" ca="1" si="5"/>
        <v>1</v>
      </c>
      <c r="Q40" s="9" t="str" cm="1">
        <f t="array" ref="Q40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1" spans="1:17" ht="20.100000000000001" customHeight="1" x14ac:dyDescent="0.25">
      <c r="A41" s="8" t="s">
        <v>751</v>
      </c>
      <c r="B41" s="8" t="s">
        <v>752</v>
      </c>
      <c r="C41" s="9" t="s">
        <v>753</v>
      </c>
      <c r="D41" s="10" t="s">
        <v>558</v>
      </c>
      <c r="E41" s="10" t="s">
        <v>616</v>
      </c>
      <c r="F41" s="9" t="s">
        <v>617</v>
      </c>
      <c r="G41" s="9" t="s">
        <v>601</v>
      </c>
      <c r="I41" s="9" t="s">
        <v>30</v>
      </c>
      <c r="J41" s="9" t="s">
        <v>754</v>
      </c>
      <c r="K41" s="9" t="s">
        <v>632</v>
      </c>
      <c r="M41" s="10">
        <v>24035</v>
      </c>
      <c r="N41" s="9">
        <f t="shared" ca="1" si="4"/>
        <v>60</v>
      </c>
      <c r="O41" s="10">
        <v>32195</v>
      </c>
      <c r="P41" s="9">
        <f t="shared" ca="1" si="5"/>
        <v>37</v>
      </c>
      <c r="Q41" s="9" t="str" cm="1">
        <f t="array" ref="Q41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2" spans="1:17" ht="20.100000000000001" customHeight="1" x14ac:dyDescent="0.25">
      <c r="A42" s="8" t="s">
        <v>755</v>
      </c>
      <c r="B42" s="8" t="s">
        <v>756</v>
      </c>
      <c r="C42" s="9" t="s">
        <v>287</v>
      </c>
      <c r="D42" s="10" t="s">
        <v>559</v>
      </c>
      <c r="E42" s="10" t="s">
        <v>616</v>
      </c>
      <c r="F42" s="9" t="s">
        <v>617</v>
      </c>
      <c r="G42" s="9" t="s">
        <v>601</v>
      </c>
      <c r="I42" s="9" t="s">
        <v>30</v>
      </c>
      <c r="J42" s="9" t="s">
        <v>628</v>
      </c>
      <c r="M42" s="10">
        <v>24310</v>
      </c>
      <c r="N42" s="9">
        <f t="shared" ca="1" si="4"/>
        <v>59</v>
      </c>
      <c r="O42" s="10">
        <v>39328</v>
      </c>
      <c r="P42" s="9">
        <f t="shared" ca="1" si="5"/>
        <v>18</v>
      </c>
      <c r="Q42" s="9" t="str" cm="1">
        <f t="array" ref="Q42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3" spans="1:17" ht="20.100000000000001" customHeight="1" x14ac:dyDescent="0.25">
      <c r="A43" s="8" t="s">
        <v>757</v>
      </c>
      <c r="B43" s="8" t="s">
        <v>758</v>
      </c>
      <c r="C43" s="9" t="s">
        <v>388</v>
      </c>
      <c r="D43" s="10" t="s">
        <v>561</v>
      </c>
      <c r="E43" s="10"/>
      <c r="F43" s="9" t="s">
        <v>606</v>
      </c>
      <c r="G43" s="9" t="s">
        <v>601</v>
      </c>
      <c r="I43" s="9" t="s">
        <v>37</v>
      </c>
      <c r="J43" s="9" t="s">
        <v>10</v>
      </c>
      <c r="M43" s="10">
        <v>38697</v>
      </c>
      <c r="N43" s="9">
        <f t="shared" ca="1" si="4"/>
        <v>20</v>
      </c>
      <c r="O43" s="10">
        <v>45565</v>
      </c>
      <c r="P43" s="9">
        <f t="shared" ca="1" si="5"/>
        <v>1</v>
      </c>
      <c r="Q43" s="9" t="str" cm="1">
        <f t="array" ref="Q43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4" spans="1:17" ht="20.100000000000001" customHeight="1" x14ac:dyDescent="0.25">
      <c r="A44" s="8" t="s">
        <v>759</v>
      </c>
      <c r="B44" s="8" t="s">
        <v>760</v>
      </c>
      <c r="C44" s="9" t="s">
        <v>331</v>
      </c>
      <c r="D44" s="10" t="s">
        <v>562</v>
      </c>
      <c r="E44" s="10" t="s">
        <v>616</v>
      </c>
      <c r="F44" s="9" t="s">
        <v>612</v>
      </c>
      <c r="G44" s="9" t="s">
        <v>601</v>
      </c>
      <c r="I44" s="9" t="s">
        <v>30</v>
      </c>
      <c r="J44" s="9" t="s">
        <v>621</v>
      </c>
      <c r="M44" s="10">
        <v>24412</v>
      </c>
      <c r="N44" s="9">
        <f t="shared" ref="N44:N54" ca="1" si="6">DATEDIF(M44,TODAY(),"y")</f>
        <v>59</v>
      </c>
      <c r="O44" s="10">
        <v>32881</v>
      </c>
      <c r="P44" s="9">
        <f t="shared" ref="P44:P54" ca="1" si="7">DATEDIF(O44,TODAY(),"y")</f>
        <v>36</v>
      </c>
      <c r="Q44" s="9" t="str" cm="1">
        <f t="array" ref="Q44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5" spans="1:17" ht="20.100000000000001" customHeight="1" x14ac:dyDescent="0.25">
      <c r="A45" s="8" t="s">
        <v>761</v>
      </c>
      <c r="B45" s="8" t="s">
        <v>762</v>
      </c>
      <c r="C45" s="9" t="s">
        <v>373</v>
      </c>
      <c r="D45" s="10" t="s">
        <v>563</v>
      </c>
      <c r="E45" s="10" t="s">
        <v>616</v>
      </c>
      <c r="F45" s="9" t="s">
        <v>600</v>
      </c>
      <c r="G45" s="9" t="s">
        <v>601</v>
      </c>
      <c r="I45" s="9" t="s">
        <v>30</v>
      </c>
      <c r="J45" s="9" t="s">
        <v>763</v>
      </c>
      <c r="M45" s="10">
        <v>33575</v>
      </c>
      <c r="N45" s="9">
        <f t="shared" ca="1" si="6"/>
        <v>34</v>
      </c>
      <c r="O45" s="10">
        <v>39630</v>
      </c>
      <c r="P45" s="9">
        <f t="shared" ca="1" si="7"/>
        <v>17</v>
      </c>
      <c r="Q45" s="9" t="str" cm="1">
        <f t="array" ref="Q45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6" spans="1:17" ht="20.100000000000001" customHeight="1" x14ac:dyDescent="0.25">
      <c r="A46" s="8" t="s">
        <v>764</v>
      </c>
      <c r="B46" s="8" t="s">
        <v>765</v>
      </c>
      <c r="C46" s="9" t="s">
        <v>282</v>
      </c>
      <c r="D46" s="10" t="s">
        <v>563</v>
      </c>
      <c r="E46" s="10" t="s">
        <v>616</v>
      </c>
      <c r="F46" s="9" t="s">
        <v>604</v>
      </c>
      <c r="G46" s="9" t="s">
        <v>601</v>
      </c>
      <c r="I46" s="9" t="s">
        <v>30</v>
      </c>
      <c r="J46" s="9" t="s">
        <v>766</v>
      </c>
      <c r="M46" s="10">
        <v>28265</v>
      </c>
      <c r="N46" s="9">
        <f t="shared" ca="1" si="6"/>
        <v>48</v>
      </c>
      <c r="O46" s="10">
        <v>37068</v>
      </c>
      <c r="P46" s="9">
        <f t="shared" ca="1" si="7"/>
        <v>24</v>
      </c>
      <c r="Q46" s="9" t="str" cm="1">
        <f t="array" ref="Q46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7" spans="1:17" ht="20.100000000000001" customHeight="1" x14ac:dyDescent="0.25">
      <c r="A47" s="8" t="s">
        <v>767</v>
      </c>
      <c r="B47" s="8" t="s">
        <v>768</v>
      </c>
      <c r="C47" s="9" t="s">
        <v>379</v>
      </c>
      <c r="D47" s="10" t="s">
        <v>563</v>
      </c>
      <c r="E47" s="10" t="s">
        <v>616</v>
      </c>
      <c r="F47" s="9" t="s">
        <v>617</v>
      </c>
      <c r="G47" s="9" t="s">
        <v>601</v>
      </c>
      <c r="I47" s="9" t="s">
        <v>30</v>
      </c>
      <c r="J47" s="9" t="s">
        <v>769</v>
      </c>
      <c r="M47" s="10">
        <v>33171</v>
      </c>
      <c r="N47" s="9">
        <f t="shared" ca="1" si="6"/>
        <v>35</v>
      </c>
      <c r="O47" s="10">
        <v>43770</v>
      </c>
      <c r="P47" s="9">
        <f t="shared" ca="1" si="7"/>
        <v>6</v>
      </c>
      <c r="Q47" s="9" t="str" cm="1">
        <f t="array" ref="Q47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48" spans="1:17" ht="20.100000000000001" customHeight="1" x14ac:dyDescent="0.25">
      <c r="A48" s="8" t="s">
        <v>770</v>
      </c>
      <c r="B48" s="8" t="s">
        <v>771</v>
      </c>
      <c r="C48" s="9" t="s">
        <v>290</v>
      </c>
      <c r="D48" s="10" t="s">
        <v>565</v>
      </c>
      <c r="E48" s="10" t="s">
        <v>616</v>
      </c>
      <c r="F48" s="9" t="s">
        <v>580</v>
      </c>
      <c r="G48" s="9" t="s">
        <v>607</v>
      </c>
      <c r="H48" s="9" t="s">
        <v>12</v>
      </c>
      <c r="I48" s="9" t="s">
        <v>33</v>
      </c>
      <c r="J48" s="9" t="s">
        <v>772</v>
      </c>
      <c r="K48" s="9" t="s">
        <v>638</v>
      </c>
      <c r="L48" s="9" t="s">
        <v>773</v>
      </c>
      <c r="M48" s="10">
        <v>30076</v>
      </c>
      <c r="N48" s="9">
        <f t="shared" ca="1" si="6"/>
        <v>43</v>
      </c>
      <c r="O48" s="10">
        <v>37900</v>
      </c>
      <c r="P48" s="9">
        <f t="shared" ca="1" si="7"/>
        <v>22</v>
      </c>
      <c r="Q48" s="9" t="str" cm="1">
        <f t="array" ref="Q48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49" spans="1:17" ht="20.100000000000001" customHeight="1" x14ac:dyDescent="0.25">
      <c r="A49" s="8" t="s">
        <v>774</v>
      </c>
      <c r="B49" s="8" t="s">
        <v>775</v>
      </c>
      <c r="C49" s="9" t="s">
        <v>14</v>
      </c>
      <c r="D49" s="10" t="s">
        <v>573</v>
      </c>
      <c r="E49" s="10" t="s">
        <v>616</v>
      </c>
      <c r="F49" s="9" t="s">
        <v>15</v>
      </c>
      <c r="G49" s="9" t="s">
        <v>15</v>
      </c>
      <c r="H49" s="9" t="s">
        <v>11</v>
      </c>
      <c r="I49" s="9" t="s">
        <v>35</v>
      </c>
      <c r="J49" s="9" t="s">
        <v>653</v>
      </c>
      <c r="K49" s="9" t="s">
        <v>776</v>
      </c>
      <c r="L49" s="9" t="s">
        <v>777</v>
      </c>
      <c r="M49" s="10">
        <v>35795</v>
      </c>
      <c r="N49" s="9">
        <f t="shared" ca="1" si="6"/>
        <v>28</v>
      </c>
      <c r="O49" s="10">
        <v>44075</v>
      </c>
      <c r="P49" s="9">
        <f t="shared" ca="1" si="7"/>
        <v>5</v>
      </c>
      <c r="Q49" s="9" t="str" cm="1">
        <f t="array" ref="Q49">IF(COUNTIFS(F:F,"Chef de secteur",H:H,"Thuir")&gt;0,
    _xlfn.TEXTJOIN(" / ",TRUE,_xlfn._xlws.FILTER(A:A,(F:F="Chef de secteur")*(H:H="Thuir"),"Non trouvé")),
    _xlfn.TEXTJOIN(" / ",TRUE,_xlfn._xlws.FILTER(A:A,(F:F="Chef de centre")*(H:H="Thuir"),"Non trouvé"))
)</f>
        <v>078</v>
      </c>
    </row>
    <row r="50" spans="1:17" ht="20.100000000000001" customHeight="1" x14ac:dyDescent="0.25">
      <c r="A50" s="8" t="s">
        <v>778</v>
      </c>
      <c r="B50" s="8" t="s">
        <v>779</v>
      </c>
      <c r="C50" s="9" t="s">
        <v>365</v>
      </c>
      <c r="D50" s="10" t="s">
        <v>574</v>
      </c>
      <c r="E50" s="10" t="s">
        <v>616</v>
      </c>
      <c r="F50" s="9" t="s">
        <v>600</v>
      </c>
      <c r="G50" s="9" t="s">
        <v>601</v>
      </c>
      <c r="I50" s="9" t="s">
        <v>30</v>
      </c>
      <c r="J50" s="9" t="s">
        <v>624</v>
      </c>
      <c r="M50" s="10">
        <v>23846</v>
      </c>
      <c r="N50" s="9">
        <f t="shared" ca="1" si="6"/>
        <v>60</v>
      </c>
      <c r="O50" s="10">
        <v>38749</v>
      </c>
      <c r="P50" s="9">
        <f t="shared" ca="1" si="7"/>
        <v>20</v>
      </c>
      <c r="Q50" s="9" t="str" cm="1">
        <f t="array" ref="Q50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51" spans="1:17" ht="20.100000000000001" customHeight="1" x14ac:dyDescent="0.25">
      <c r="A51" s="8" t="s">
        <v>780</v>
      </c>
      <c r="B51" s="8" t="s">
        <v>781</v>
      </c>
      <c r="C51" s="9" t="s">
        <v>352</v>
      </c>
      <c r="D51" s="10" t="s">
        <v>575</v>
      </c>
      <c r="E51" s="10" t="s">
        <v>616</v>
      </c>
      <c r="F51" s="9" t="s">
        <v>604</v>
      </c>
      <c r="G51" s="9" t="s">
        <v>601</v>
      </c>
      <c r="I51" s="9" t="s">
        <v>30</v>
      </c>
      <c r="J51" s="9" t="s">
        <v>584</v>
      </c>
      <c r="M51" s="10">
        <v>25379</v>
      </c>
      <c r="N51" s="9">
        <f t="shared" ca="1" si="6"/>
        <v>56</v>
      </c>
      <c r="O51" s="10">
        <v>38596</v>
      </c>
      <c r="P51" s="9">
        <f t="shared" ca="1" si="7"/>
        <v>20</v>
      </c>
      <c r="Q51" s="9" t="str" cm="1">
        <f t="array" ref="Q51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52" spans="1:17" ht="20.100000000000001" customHeight="1" x14ac:dyDescent="0.25">
      <c r="A52" s="8" t="s">
        <v>782</v>
      </c>
      <c r="B52" s="8" t="s">
        <v>783</v>
      </c>
      <c r="C52" s="9" t="s">
        <v>392</v>
      </c>
      <c r="D52" s="10" t="s">
        <v>576</v>
      </c>
      <c r="E52" s="10" t="s">
        <v>616</v>
      </c>
      <c r="F52" s="9" t="s">
        <v>600</v>
      </c>
      <c r="G52" s="9" t="s">
        <v>601</v>
      </c>
      <c r="I52" s="9" t="s">
        <v>30</v>
      </c>
      <c r="J52" s="9" t="s">
        <v>605</v>
      </c>
      <c r="M52" s="10">
        <v>25670</v>
      </c>
      <c r="N52" s="9">
        <f t="shared" ca="1" si="6"/>
        <v>55</v>
      </c>
      <c r="O52" s="10">
        <v>43770</v>
      </c>
      <c r="P52" s="9">
        <f t="shared" ca="1" si="7"/>
        <v>6</v>
      </c>
      <c r="Q52" s="9" t="str" cm="1">
        <f t="array" ref="Q52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062 / 125 / 143 / 144 / 152 / 163 / 178 / 179 / 200 / 213 / 214</v>
      </c>
    </row>
    <row r="53" spans="1:17" ht="20.100000000000001" customHeight="1" x14ac:dyDescent="0.25">
      <c r="A53" s="8" t="s">
        <v>784</v>
      </c>
      <c r="B53" s="8" t="s">
        <v>785</v>
      </c>
      <c r="C53" s="9" t="s">
        <v>282</v>
      </c>
      <c r="D53" s="10" t="s">
        <v>577</v>
      </c>
      <c r="E53" s="10" t="s">
        <v>616</v>
      </c>
      <c r="F53" s="9" t="s">
        <v>580</v>
      </c>
      <c r="G53" s="9" t="s">
        <v>607</v>
      </c>
      <c r="H53" s="9" t="s">
        <v>10</v>
      </c>
      <c r="I53" s="9" t="s">
        <v>33</v>
      </c>
      <c r="J53" s="9" t="s">
        <v>647</v>
      </c>
      <c r="K53" s="9" t="s">
        <v>786</v>
      </c>
      <c r="L53" s="9" t="s">
        <v>787</v>
      </c>
      <c r="M53" s="10">
        <v>30329</v>
      </c>
      <c r="N53" s="9">
        <f t="shared" ca="1" si="6"/>
        <v>43</v>
      </c>
      <c r="O53" s="10">
        <v>38642</v>
      </c>
      <c r="P53" s="9">
        <f t="shared" ca="1" si="7"/>
        <v>20</v>
      </c>
      <c r="Q53" s="9" t="str" cm="1">
        <f t="array" ref="Q53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  <row r="54" spans="1:17" ht="20.100000000000001" customHeight="1" x14ac:dyDescent="0.25">
      <c r="A54" s="8" t="s">
        <v>788</v>
      </c>
      <c r="B54" s="8" t="s">
        <v>789</v>
      </c>
      <c r="C54" s="9" t="s">
        <v>271</v>
      </c>
      <c r="D54" s="10" t="s">
        <v>578</v>
      </c>
      <c r="E54" s="10" t="s">
        <v>616</v>
      </c>
      <c r="F54" s="9" t="s">
        <v>580</v>
      </c>
      <c r="G54" s="9" t="s">
        <v>607</v>
      </c>
      <c r="H54" s="9" t="s">
        <v>12</v>
      </c>
      <c r="I54" s="9" t="s">
        <v>33</v>
      </c>
      <c r="J54" s="9" t="s">
        <v>10</v>
      </c>
      <c r="K54" s="9" t="s">
        <v>790</v>
      </c>
      <c r="L54" s="9" t="s">
        <v>791</v>
      </c>
      <c r="M54" s="10">
        <v>32923</v>
      </c>
      <c r="N54" s="9">
        <f t="shared" ca="1" si="6"/>
        <v>35</v>
      </c>
      <c r="O54" s="10">
        <v>43514</v>
      </c>
      <c r="P54" s="9">
        <f t="shared" ca="1" si="7"/>
        <v>6</v>
      </c>
      <c r="Q54" s="9" t="str" cm="1">
        <f t="array" ref="Q54">_xlfn.TEXTJOIN(" / ",TRUE,
_xlfn._xlws.FILTER(A:A,
    ((#REF!="Conducteur d'engins / Chauffeur PL / Ouvrier")*(G:G="Chef de chantier / d'équipe"))
    +
    ((#REF!="Chef de chantier / d'équipe")*(#REF!="Chef d'équipe")*((F:F="Chef de chantier")+(F:F="Chef d'application")))
    +
    ((#REF!="Chef de chantier / d'équipe")*((#REF!="Chef de chantier")+(#REF!="Chef d'application"))*(G:G="Conducteur de travaux")
    ),"Non trouvé"))</f>
        <v>029 / 043 / 060 / 177 / 209</v>
      </c>
    </row>
  </sheetData>
  <sheetProtection formatCells="0" formatColumns="0" formatRows="0" insertColumns="0" insertRows="0" insertHyperlinks="0" deleteColumns="0" deleteRows="0" sort="0" autoFilter="0" pivotTables="0"/>
  <autoFilter ref="A1:O1" xr:uid="{00000000-0001-0000-0000-000000000000}"/>
  <phoneticPr fontId="3" type="noConversion"/>
  <conditionalFormatting sqref="E2:E3">
    <cfRule type="iconSet" priority="3">
      <iconSet iconSet="3Symbols2">
        <cfvo type="percent" val="0"/>
        <cfvo type="percent" val="33"/>
        <cfvo type="percent" val="67"/>
      </iconSet>
    </cfRule>
  </conditionalFormatting>
  <dataValidations disablePrompts="1" count="1">
    <dataValidation type="list" allowBlank="1" showInputMessage="1" showErrorMessage="1" sqref="I2:I54" xr:uid="{EA3F6AA1-678F-438F-B2C9-D1A089B839E9}">
      <formula1>Qualifications</formula1>
    </dataValidation>
  </dataValidations>
  <pageMargins left="0.7" right="0.7" top="0.75" bottom="0.75" header="0.3" footer="0.3"/>
  <pageSetup paperSize="9" orientation="portrait" r:id="rId1"/>
  <headerFooter>
    <oddFooter>&amp;C_x000D_&amp;1#&amp;"Arial"&amp;10&amp;K29CF00 C2 - COLAS GROUP INTERNAL: Employees and partners who need to know.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CalculerFeuille">
                <anchor moveWithCells="1" sizeWithCells="1">
                  <from>
                    <xdr:col>18</xdr:col>
                    <xdr:colOff>1933575</xdr:colOff>
                    <xdr:row>0</xdr:row>
                    <xdr:rowOff>219075</xdr:rowOff>
                  </from>
                  <to>
                    <xdr:col>25</xdr:col>
                    <xdr:colOff>114300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D0FB0-5316-458E-99AE-F14A05712292}">
  <dimension ref="H3:J214"/>
  <sheetViews>
    <sheetView topLeftCell="A179" workbookViewId="0">
      <selection activeCell="I3" sqref="I3:I214"/>
    </sheetView>
  </sheetViews>
  <sheetFormatPr baseColWidth="10" defaultRowHeight="15" x14ac:dyDescent="0.25"/>
  <cols>
    <col min="8" max="8" width="27.7109375" customWidth="1"/>
  </cols>
  <sheetData>
    <row r="3" spans="8:10" x14ac:dyDescent="0.25">
      <c r="H3" s="4" t="s">
        <v>55</v>
      </c>
      <c r="I3" t="s">
        <v>268</v>
      </c>
      <c r="J3" t="s">
        <v>267</v>
      </c>
    </row>
    <row r="4" spans="8:10" x14ac:dyDescent="0.25">
      <c r="H4" s="5" t="s">
        <v>56</v>
      </c>
      <c r="I4" t="s">
        <v>393</v>
      </c>
      <c r="J4" t="s">
        <v>269</v>
      </c>
    </row>
    <row r="5" spans="8:10" x14ac:dyDescent="0.25">
      <c r="H5" s="4" t="s">
        <v>57</v>
      </c>
      <c r="I5" t="s">
        <v>394</v>
      </c>
      <c r="J5" t="s">
        <v>270</v>
      </c>
    </row>
    <row r="6" spans="8:10" x14ac:dyDescent="0.25">
      <c r="H6" s="4" t="s">
        <v>58</v>
      </c>
      <c r="I6" t="s">
        <v>395</v>
      </c>
      <c r="J6" t="s">
        <v>271</v>
      </c>
    </row>
    <row r="7" spans="8:10" x14ac:dyDescent="0.25">
      <c r="H7" s="4" t="s">
        <v>59</v>
      </c>
      <c r="I7" t="s">
        <v>396</v>
      </c>
      <c r="J7" t="s">
        <v>272</v>
      </c>
    </row>
    <row r="8" spans="8:10" x14ac:dyDescent="0.25">
      <c r="H8" s="5" t="s">
        <v>60</v>
      </c>
      <c r="I8" t="s">
        <v>397</v>
      </c>
      <c r="J8" t="s">
        <v>273</v>
      </c>
    </row>
    <row r="9" spans="8:10" x14ac:dyDescent="0.25">
      <c r="H9" s="5" t="s">
        <v>61</v>
      </c>
      <c r="I9" t="s">
        <v>398</v>
      </c>
      <c r="J9" t="s">
        <v>274</v>
      </c>
    </row>
    <row r="10" spans="8:10" x14ac:dyDescent="0.25">
      <c r="H10" s="4" t="s">
        <v>62</v>
      </c>
      <c r="I10" t="s">
        <v>399</v>
      </c>
      <c r="J10" t="s">
        <v>275</v>
      </c>
    </row>
    <row r="11" spans="8:10" x14ac:dyDescent="0.25">
      <c r="H11" s="5" t="s">
        <v>63</v>
      </c>
      <c r="I11" t="s">
        <v>400</v>
      </c>
      <c r="J11" t="s">
        <v>276</v>
      </c>
    </row>
    <row r="12" spans="8:10" x14ac:dyDescent="0.25">
      <c r="H12" s="5" t="s">
        <v>64</v>
      </c>
      <c r="I12" t="s">
        <v>401</v>
      </c>
      <c r="J12" t="s">
        <v>277</v>
      </c>
    </row>
    <row r="13" spans="8:10" x14ac:dyDescent="0.25">
      <c r="H13" s="4" t="s">
        <v>65</v>
      </c>
      <c r="I13" t="s">
        <v>402</v>
      </c>
      <c r="J13" t="s">
        <v>278</v>
      </c>
    </row>
    <row r="14" spans="8:10" x14ac:dyDescent="0.25">
      <c r="H14" s="4" t="s">
        <v>66</v>
      </c>
      <c r="I14" t="s">
        <v>403</v>
      </c>
      <c r="J14" t="s">
        <v>279</v>
      </c>
    </row>
    <row r="15" spans="8:10" x14ac:dyDescent="0.25">
      <c r="H15" s="5" t="s">
        <v>67</v>
      </c>
      <c r="I15" t="s">
        <v>404</v>
      </c>
      <c r="J15" t="s">
        <v>280</v>
      </c>
    </row>
    <row r="16" spans="8:10" x14ac:dyDescent="0.25">
      <c r="H16" s="5" t="s">
        <v>68</v>
      </c>
      <c r="I16" t="s">
        <v>405</v>
      </c>
      <c r="J16" t="s">
        <v>281</v>
      </c>
    </row>
    <row r="17" spans="8:10" x14ac:dyDescent="0.25">
      <c r="H17" s="5" t="s">
        <v>69</v>
      </c>
      <c r="I17" t="s">
        <v>406</v>
      </c>
      <c r="J17" t="s">
        <v>282</v>
      </c>
    </row>
    <row r="18" spans="8:10" x14ac:dyDescent="0.25">
      <c r="H18" s="5" t="s">
        <v>70</v>
      </c>
      <c r="I18" t="s">
        <v>407</v>
      </c>
      <c r="J18" t="s">
        <v>6</v>
      </c>
    </row>
    <row r="19" spans="8:10" x14ac:dyDescent="0.25">
      <c r="H19" s="5" t="s">
        <v>71</v>
      </c>
      <c r="I19" t="s">
        <v>408</v>
      </c>
      <c r="J19" t="s">
        <v>283</v>
      </c>
    </row>
    <row r="20" spans="8:10" x14ac:dyDescent="0.25">
      <c r="H20" s="4" t="s">
        <v>72</v>
      </c>
      <c r="I20" t="s">
        <v>409</v>
      </c>
      <c r="J20" t="s">
        <v>284</v>
      </c>
    </row>
    <row r="21" spans="8:10" x14ac:dyDescent="0.25">
      <c r="H21" s="5" t="s">
        <v>73</v>
      </c>
      <c r="I21" t="s">
        <v>410</v>
      </c>
      <c r="J21" t="s">
        <v>285</v>
      </c>
    </row>
    <row r="22" spans="8:10" x14ac:dyDescent="0.25">
      <c r="H22" s="4" t="s">
        <v>74</v>
      </c>
      <c r="I22" t="s">
        <v>411</v>
      </c>
      <c r="J22" t="s">
        <v>270</v>
      </c>
    </row>
    <row r="23" spans="8:10" x14ac:dyDescent="0.25">
      <c r="H23" s="5" t="s">
        <v>75</v>
      </c>
      <c r="I23" t="s">
        <v>412</v>
      </c>
      <c r="J23" t="s">
        <v>286</v>
      </c>
    </row>
    <row r="24" spans="8:10" x14ac:dyDescent="0.25">
      <c r="H24" s="5" t="s">
        <v>76</v>
      </c>
      <c r="I24" t="s">
        <v>413</v>
      </c>
      <c r="J24" t="s">
        <v>287</v>
      </c>
    </row>
    <row r="25" spans="8:10" x14ac:dyDescent="0.25">
      <c r="H25" s="4" t="s">
        <v>77</v>
      </c>
      <c r="I25" t="s">
        <v>414</v>
      </c>
      <c r="J25" t="s">
        <v>288</v>
      </c>
    </row>
    <row r="26" spans="8:10" x14ac:dyDescent="0.25">
      <c r="H26" s="5" t="s">
        <v>78</v>
      </c>
      <c r="I26" t="s">
        <v>415</v>
      </c>
      <c r="J26" t="s">
        <v>289</v>
      </c>
    </row>
    <row r="27" spans="8:10" x14ac:dyDescent="0.25">
      <c r="H27" s="5" t="s">
        <v>79</v>
      </c>
      <c r="I27" t="s">
        <v>416</v>
      </c>
      <c r="J27" t="s">
        <v>290</v>
      </c>
    </row>
    <row r="28" spans="8:10" x14ac:dyDescent="0.25">
      <c r="H28" s="4" t="s">
        <v>80</v>
      </c>
      <c r="I28" t="s">
        <v>417</v>
      </c>
      <c r="J28" t="s">
        <v>291</v>
      </c>
    </row>
    <row r="29" spans="8:10" x14ac:dyDescent="0.25">
      <c r="H29" s="5" t="s">
        <v>81</v>
      </c>
      <c r="I29" t="s">
        <v>418</v>
      </c>
      <c r="J29" t="s">
        <v>14</v>
      </c>
    </row>
    <row r="30" spans="8:10" x14ac:dyDescent="0.25">
      <c r="H30" s="4" t="s">
        <v>82</v>
      </c>
      <c r="I30" t="s">
        <v>419</v>
      </c>
      <c r="J30" t="s">
        <v>292</v>
      </c>
    </row>
    <row r="31" spans="8:10" x14ac:dyDescent="0.25">
      <c r="H31" s="4" t="s">
        <v>83</v>
      </c>
      <c r="I31" t="s">
        <v>420</v>
      </c>
      <c r="J31" t="s">
        <v>293</v>
      </c>
    </row>
    <row r="32" spans="8:10" x14ac:dyDescent="0.25">
      <c r="H32" s="5" t="s">
        <v>84</v>
      </c>
      <c r="I32" t="s">
        <v>421</v>
      </c>
      <c r="J32" t="s">
        <v>294</v>
      </c>
    </row>
    <row r="33" spans="8:10" x14ac:dyDescent="0.25">
      <c r="H33" s="4" t="s">
        <v>85</v>
      </c>
      <c r="I33" t="s">
        <v>422</v>
      </c>
      <c r="J33" t="s">
        <v>295</v>
      </c>
    </row>
    <row r="34" spans="8:10" x14ac:dyDescent="0.25">
      <c r="H34" s="4" t="s">
        <v>86</v>
      </c>
      <c r="I34" t="s">
        <v>422</v>
      </c>
      <c r="J34" t="s">
        <v>296</v>
      </c>
    </row>
    <row r="35" spans="8:10" x14ac:dyDescent="0.25">
      <c r="H35" s="5" t="s">
        <v>87</v>
      </c>
      <c r="I35" t="s">
        <v>423</v>
      </c>
      <c r="J35" t="s">
        <v>293</v>
      </c>
    </row>
    <row r="36" spans="8:10" x14ac:dyDescent="0.25">
      <c r="H36" s="5" t="s">
        <v>88</v>
      </c>
      <c r="I36" t="s">
        <v>424</v>
      </c>
      <c r="J36" t="s">
        <v>297</v>
      </c>
    </row>
    <row r="37" spans="8:10" x14ac:dyDescent="0.25">
      <c r="H37" s="5" t="s">
        <v>89</v>
      </c>
      <c r="I37" t="s">
        <v>425</v>
      </c>
      <c r="J37" t="s">
        <v>9</v>
      </c>
    </row>
    <row r="38" spans="8:10" x14ac:dyDescent="0.25">
      <c r="H38" s="5" t="s">
        <v>90</v>
      </c>
      <c r="I38" t="s">
        <v>426</v>
      </c>
      <c r="J38" t="s">
        <v>298</v>
      </c>
    </row>
    <row r="39" spans="8:10" x14ac:dyDescent="0.25">
      <c r="H39" s="5" t="s">
        <v>91</v>
      </c>
      <c r="I39" t="s">
        <v>427</v>
      </c>
      <c r="J39" t="s">
        <v>296</v>
      </c>
    </row>
    <row r="40" spans="8:10" x14ac:dyDescent="0.25">
      <c r="H40" s="4" t="s">
        <v>92</v>
      </c>
      <c r="I40" t="s">
        <v>428</v>
      </c>
      <c r="J40" t="s">
        <v>299</v>
      </c>
    </row>
    <row r="41" spans="8:10" x14ac:dyDescent="0.25">
      <c r="H41" s="4" t="s">
        <v>93</v>
      </c>
      <c r="I41" t="s">
        <v>429</v>
      </c>
      <c r="J41" t="s">
        <v>300</v>
      </c>
    </row>
    <row r="42" spans="8:10" x14ac:dyDescent="0.25">
      <c r="H42" s="4" t="s">
        <v>94</v>
      </c>
      <c r="I42" t="s">
        <v>430</v>
      </c>
      <c r="J42" t="s">
        <v>301</v>
      </c>
    </row>
    <row r="43" spans="8:10" x14ac:dyDescent="0.25">
      <c r="H43" s="5" t="s">
        <v>95</v>
      </c>
      <c r="I43" t="s">
        <v>430</v>
      </c>
      <c r="J43" t="s">
        <v>17</v>
      </c>
    </row>
    <row r="44" spans="8:10" x14ac:dyDescent="0.25">
      <c r="H44" s="4" t="s">
        <v>96</v>
      </c>
      <c r="I44" t="s">
        <v>431</v>
      </c>
      <c r="J44" t="s">
        <v>302</v>
      </c>
    </row>
    <row r="45" spans="8:10" x14ac:dyDescent="0.25">
      <c r="H45" s="4" t="s">
        <v>97</v>
      </c>
      <c r="I45" t="s">
        <v>431</v>
      </c>
      <c r="J45" t="s">
        <v>303</v>
      </c>
    </row>
    <row r="46" spans="8:10" x14ac:dyDescent="0.25">
      <c r="H46" s="4" t="s">
        <v>98</v>
      </c>
      <c r="I46" t="s">
        <v>432</v>
      </c>
      <c r="J46" t="s">
        <v>304</v>
      </c>
    </row>
    <row r="47" spans="8:10" x14ac:dyDescent="0.25">
      <c r="H47" s="4" t="s">
        <v>99</v>
      </c>
      <c r="I47" t="s">
        <v>432</v>
      </c>
      <c r="J47" t="s">
        <v>305</v>
      </c>
    </row>
    <row r="48" spans="8:10" x14ac:dyDescent="0.25">
      <c r="H48" s="4" t="s">
        <v>100</v>
      </c>
      <c r="I48" t="s">
        <v>433</v>
      </c>
      <c r="J48" t="s">
        <v>306</v>
      </c>
    </row>
    <row r="49" spans="8:10" x14ac:dyDescent="0.25">
      <c r="H49" s="4" t="s">
        <v>101</v>
      </c>
      <c r="I49" t="s">
        <v>434</v>
      </c>
      <c r="J49" t="s">
        <v>307</v>
      </c>
    </row>
    <row r="50" spans="8:10" x14ac:dyDescent="0.25">
      <c r="H50" s="4" t="s">
        <v>102</v>
      </c>
      <c r="I50" t="s">
        <v>435</v>
      </c>
      <c r="J50" t="s">
        <v>270</v>
      </c>
    </row>
    <row r="51" spans="8:10" x14ac:dyDescent="0.25">
      <c r="H51" s="5" t="s">
        <v>103</v>
      </c>
      <c r="I51" t="s">
        <v>436</v>
      </c>
      <c r="J51" t="s">
        <v>308</v>
      </c>
    </row>
    <row r="52" spans="8:10" x14ac:dyDescent="0.25">
      <c r="H52" s="4" t="s">
        <v>104</v>
      </c>
      <c r="I52" t="s">
        <v>437</v>
      </c>
      <c r="J52" t="s">
        <v>309</v>
      </c>
    </row>
    <row r="53" spans="8:10" x14ac:dyDescent="0.25">
      <c r="H53" s="4" t="s">
        <v>105</v>
      </c>
      <c r="I53" t="s">
        <v>438</v>
      </c>
      <c r="J53" t="s">
        <v>298</v>
      </c>
    </row>
    <row r="54" spans="8:10" x14ac:dyDescent="0.25">
      <c r="H54" s="4" t="s">
        <v>106</v>
      </c>
      <c r="I54" t="s">
        <v>439</v>
      </c>
      <c r="J54" t="s">
        <v>310</v>
      </c>
    </row>
    <row r="55" spans="8:10" x14ac:dyDescent="0.25">
      <c r="H55" s="4" t="s">
        <v>107</v>
      </c>
      <c r="I55" t="s">
        <v>440</v>
      </c>
      <c r="J55" t="s">
        <v>311</v>
      </c>
    </row>
    <row r="56" spans="8:10" x14ac:dyDescent="0.25">
      <c r="H56" s="4" t="s">
        <v>108</v>
      </c>
      <c r="I56" t="s">
        <v>441</v>
      </c>
      <c r="J56" t="s">
        <v>312</v>
      </c>
    </row>
    <row r="57" spans="8:10" x14ac:dyDescent="0.25">
      <c r="H57" s="4" t="s">
        <v>109</v>
      </c>
      <c r="I57" t="s">
        <v>442</v>
      </c>
      <c r="J57" t="s">
        <v>313</v>
      </c>
    </row>
    <row r="58" spans="8:10" x14ac:dyDescent="0.25">
      <c r="H58" s="5" t="s">
        <v>110</v>
      </c>
      <c r="I58" t="s">
        <v>443</v>
      </c>
      <c r="J58" t="s">
        <v>314</v>
      </c>
    </row>
    <row r="59" spans="8:10" x14ac:dyDescent="0.25">
      <c r="H59" s="5" t="s">
        <v>111</v>
      </c>
      <c r="I59" t="s">
        <v>443</v>
      </c>
      <c r="J59" t="s">
        <v>315</v>
      </c>
    </row>
    <row r="60" spans="8:10" x14ac:dyDescent="0.25">
      <c r="H60" s="5" t="s">
        <v>112</v>
      </c>
      <c r="I60" t="s">
        <v>444</v>
      </c>
      <c r="J60" t="s">
        <v>278</v>
      </c>
    </row>
    <row r="61" spans="8:10" x14ac:dyDescent="0.25">
      <c r="H61" s="4" t="s">
        <v>113</v>
      </c>
      <c r="I61" t="s">
        <v>445</v>
      </c>
      <c r="J61" t="s">
        <v>313</v>
      </c>
    </row>
    <row r="62" spans="8:10" x14ac:dyDescent="0.25">
      <c r="H62" s="5" t="s">
        <v>114</v>
      </c>
      <c r="I62" t="s">
        <v>446</v>
      </c>
      <c r="J62" t="s">
        <v>316</v>
      </c>
    </row>
    <row r="63" spans="8:10" x14ac:dyDescent="0.25">
      <c r="H63" s="4" t="s">
        <v>115</v>
      </c>
      <c r="I63" t="s">
        <v>447</v>
      </c>
      <c r="J63" t="s">
        <v>13</v>
      </c>
    </row>
    <row r="64" spans="8:10" x14ac:dyDescent="0.25">
      <c r="H64" s="5" t="s">
        <v>116</v>
      </c>
      <c r="I64" t="s">
        <v>448</v>
      </c>
      <c r="J64" t="s">
        <v>317</v>
      </c>
    </row>
    <row r="65" spans="8:10" x14ac:dyDescent="0.25">
      <c r="H65" s="5" t="s">
        <v>117</v>
      </c>
      <c r="I65" t="s">
        <v>449</v>
      </c>
      <c r="J65" t="s">
        <v>318</v>
      </c>
    </row>
    <row r="66" spans="8:10" x14ac:dyDescent="0.25">
      <c r="H66" s="5" t="s">
        <v>118</v>
      </c>
      <c r="I66" t="s">
        <v>450</v>
      </c>
      <c r="J66" t="s">
        <v>287</v>
      </c>
    </row>
    <row r="67" spans="8:10" x14ac:dyDescent="0.25">
      <c r="H67" s="4" t="s">
        <v>119</v>
      </c>
      <c r="I67" t="s">
        <v>451</v>
      </c>
      <c r="J67" t="s">
        <v>319</v>
      </c>
    </row>
    <row r="68" spans="8:10" x14ac:dyDescent="0.25">
      <c r="H68" s="4" t="s">
        <v>120</v>
      </c>
      <c r="I68" t="s">
        <v>452</v>
      </c>
      <c r="J68" t="s">
        <v>320</v>
      </c>
    </row>
    <row r="69" spans="8:10" x14ac:dyDescent="0.25">
      <c r="H69" s="4" t="s">
        <v>121</v>
      </c>
      <c r="I69" t="s">
        <v>453</v>
      </c>
      <c r="J69" t="s">
        <v>321</v>
      </c>
    </row>
    <row r="70" spans="8:10" x14ac:dyDescent="0.25">
      <c r="H70" s="4" t="s">
        <v>122</v>
      </c>
      <c r="I70" t="s">
        <v>454</v>
      </c>
      <c r="J70" t="s">
        <v>292</v>
      </c>
    </row>
    <row r="71" spans="8:10" x14ac:dyDescent="0.25">
      <c r="H71" s="4" t="s">
        <v>123</v>
      </c>
      <c r="I71" t="s">
        <v>455</v>
      </c>
      <c r="J71" t="s">
        <v>322</v>
      </c>
    </row>
    <row r="72" spans="8:10" x14ac:dyDescent="0.25">
      <c r="H72" s="5" t="s">
        <v>124</v>
      </c>
      <c r="I72" t="s">
        <v>456</v>
      </c>
      <c r="J72" t="s">
        <v>323</v>
      </c>
    </row>
    <row r="73" spans="8:10" x14ac:dyDescent="0.25">
      <c r="H73" s="5" t="s">
        <v>125</v>
      </c>
      <c r="I73" t="s">
        <v>457</v>
      </c>
      <c r="J73" t="s">
        <v>312</v>
      </c>
    </row>
    <row r="74" spans="8:10" x14ac:dyDescent="0.25">
      <c r="H74" s="4" t="s">
        <v>126</v>
      </c>
      <c r="I74" t="s">
        <v>458</v>
      </c>
      <c r="J74" t="s">
        <v>324</v>
      </c>
    </row>
    <row r="75" spans="8:10" x14ac:dyDescent="0.25">
      <c r="H75" s="4" t="s">
        <v>127</v>
      </c>
      <c r="I75" t="s">
        <v>459</v>
      </c>
      <c r="J75" t="s">
        <v>325</v>
      </c>
    </row>
    <row r="76" spans="8:10" x14ac:dyDescent="0.25">
      <c r="H76" s="4" t="s">
        <v>128</v>
      </c>
      <c r="I76" t="s">
        <v>460</v>
      </c>
      <c r="J76" t="s">
        <v>326</v>
      </c>
    </row>
    <row r="77" spans="8:10" x14ac:dyDescent="0.25">
      <c r="H77" s="5" t="s">
        <v>129</v>
      </c>
      <c r="I77" t="s">
        <v>461</v>
      </c>
      <c r="J77" t="s">
        <v>327</v>
      </c>
    </row>
    <row r="78" spans="8:10" x14ac:dyDescent="0.25">
      <c r="H78" s="5" t="s">
        <v>130</v>
      </c>
      <c r="I78" t="s">
        <v>462</v>
      </c>
      <c r="J78" t="s">
        <v>292</v>
      </c>
    </row>
    <row r="79" spans="8:10" x14ac:dyDescent="0.25">
      <c r="H79" s="4" t="s">
        <v>131</v>
      </c>
      <c r="I79" t="s">
        <v>463</v>
      </c>
      <c r="J79" t="s">
        <v>289</v>
      </c>
    </row>
    <row r="80" spans="8:10" x14ac:dyDescent="0.25">
      <c r="H80" s="5" t="s">
        <v>132</v>
      </c>
      <c r="I80" t="s">
        <v>464</v>
      </c>
      <c r="J80" t="s">
        <v>328</v>
      </c>
    </row>
    <row r="81" spans="8:10" x14ac:dyDescent="0.25">
      <c r="H81" s="4" t="s">
        <v>133</v>
      </c>
      <c r="I81" t="s">
        <v>465</v>
      </c>
      <c r="J81" t="s">
        <v>287</v>
      </c>
    </row>
    <row r="82" spans="8:10" x14ac:dyDescent="0.25">
      <c r="H82" s="4" t="s">
        <v>134</v>
      </c>
      <c r="I82" t="s">
        <v>466</v>
      </c>
      <c r="J82" t="s">
        <v>313</v>
      </c>
    </row>
    <row r="83" spans="8:10" x14ac:dyDescent="0.25">
      <c r="H83" s="4" t="s">
        <v>135</v>
      </c>
      <c r="I83" t="s">
        <v>467</v>
      </c>
      <c r="J83" t="s">
        <v>329</v>
      </c>
    </row>
    <row r="84" spans="8:10" x14ac:dyDescent="0.25">
      <c r="H84" s="4" t="s">
        <v>136</v>
      </c>
      <c r="I84" t="s">
        <v>468</v>
      </c>
      <c r="J84" t="s">
        <v>330</v>
      </c>
    </row>
    <row r="85" spans="8:10" x14ac:dyDescent="0.25">
      <c r="H85" s="4" t="s">
        <v>137</v>
      </c>
      <c r="I85" t="s">
        <v>469</v>
      </c>
      <c r="J85" t="s">
        <v>331</v>
      </c>
    </row>
    <row r="86" spans="8:10" x14ac:dyDescent="0.25">
      <c r="H86" s="4" t="s">
        <v>138</v>
      </c>
      <c r="I86" t="s">
        <v>470</v>
      </c>
      <c r="J86" t="s">
        <v>332</v>
      </c>
    </row>
    <row r="87" spans="8:10" x14ac:dyDescent="0.25">
      <c r="H87" s="5" t="s">
        <v>139</v>
      </c>
      <c r="I87" t="s">
        <v>471</v>
      </c>
      <c r="J87" t="s">
        <v>333</v>
      </c>
    </row>
    <row r="88" spans="8:10" x14ac:dyDescent="0.25">
      <c r="H88" s="4" t="s">
        <v>140</v>
      </c>
      <c r="I88" t="s">
        <v>472</v>
      </c>
      <c r="J88" t="s">
        <v>334</v>
      </c>
    </row>
    <row r="89" spans="8:10" x14ac:dyDescent="0.25">
      <c r="H89" s="4" t="s">
        <v>141</v>
      </c>
      <c r="I89" t="s">
        <v>472</v>
      </c>
      <c r="J89" t="s">
        <v>335</v>
      </c>
    </row>
    <row r="90" spans="8:10" x14ac:dyDescent="0.25">
      <c r="H90" s="5" t="s">
        <v>142</v>
      </c>
      <c r="I90" t="s">
        <v>473</v>
      </c>
      <c r="J90" t="s">
        <v>336</v>
      </c>
    </row>
    <row r="91" spans="8:10" x14ac:dyDescent="0.25">
      <c r="H91" s="5" t="s">
        <v>143</v>
      </c>
      <c r="I91" t="s">
        <v>474</v>
      </c>
      <c r="J91" t="s">
        <v>290</v>
      </c>
    </row>
    <row r="92" spans="8:10" x14ac:dyDescent="0.25">
      <c r="H92" s="4" t="s">
        <v>144</v>
      </c>
      <c r="I92" t="s">
        <v>475</v>
      </c>
      <c r="J92" t="s">
        <v>14</v>
      </c>
    </row>
    <row r="93" spans="8:10" x14ac:dyDescent="0.25">
      <c r="H93" s="4" t="s">
        <v>145</v>
      </c>
      <c r="I93" t="s">
        <v>476</v>
      </c>
      <c r="J93" t="s">
        <v>287</v>
      </c>
    </row>
    <row r="94" spans="8:10" x14ac:dyDescent="0.25">
      <c r="H94" s="4" t="s">
        <v>146</v>
      </c>
      <c r="I94" t="s">
        <v>477</v>
      </c>
      <c r="J94" t="s">
        <v>337</v>
      </c>
    </row>
    <row r="95" spans="8:10" x14ac:dyDescent="0.25">
      <c r="H95" s="5" t="s">
        <v>147</v>
      </c>
      <c r="I95" t="s">
        <v>478</v>
      </c>
      <c r="J95" t="s">
        <v>338</v>
      </c>
    </row>
    <row r="96" spans="8:10" x14ac:dyDescent="0.25">
      <c r="H96" s="5" t="s">
        <v>148</v>
      </c>
      <c r="I96" t="s">
        <v>478</v>
      </c>
      <c r="J96" t="s">
        <v>281</v>
      </c>
    </row>
    <row r="97" spans="8:10" x14ac:dyDescent="0.25">
      <c r="H97" s="4" t="s">
        <v>149</v>
      </c>
      <c r="I97" t="s">
        <v>479</v>
      </c>
      <c r="J97" t="s">
        <v>302</v>
      </c>
    </row>
    <row r="98" spans="8:10" x14ac:dyDescent="0.25">
      <c r="H98" s="4" t="s">
        <v>150</v>
      </c>
      <c r="I98" t="s">
        <v>480</v>
      </c>
      <c r="J98" t="s">
        <v>339</v>
      </c>
    </row>
    <row r="99" spans="8:10" x14ac:dyDescent="0.25">
      <c r="H99" s="4" t="s">
        <v>151</v>
      </c>
      <c r="I99" t="s">
        <v>481</v>
      </c>
      <c r="J99" t="s">
        <v>278</v>
      </c>
    </row>
    <row r="100" spans="8:10" x14ac:dyDescent="0.25">
      <c r="H100" s="5" t="s">
        <v>152</v>
      </c>
      <c r="I100" t="s">
        <v>482</v>
      </c>
      <c r="J100" t="s">
        <v>340</v>
      </c>
    </row>
    <row r="101" spans="8:10" x14ac:dyDescent="0.25">
      <c r="H101" s="5" t="s">
        <v>153</v>
      </c>
      <c r="I101" t="s">
        <v>483</v>
      </c>
      <c r="J101" t="s">
        <v>293</v>
      </c>
    </row>
    <row r="102" spans="8:10" x14ac:dyDescent="0.25">
      <c r="H102" s="5" t="s">
        <v>154</v>
      </c>
      <c r="I102" t="s">
        <v>484</v>
      </c>
      <c r="J102" t="s">
        <v>341</v>
      </c>
    </row>
    <row r="103" spans="8:10" x14ac:dyDescent="0.25">
      <c r="H103" s="4" t="s">
        <v>155</v>
      </c>
      <c r="I103" t="s">
        <v>485</v>
      </c>
      <c r="J103" t="s">
        <v>342</v>
      </c>
    </row>
    <row r="104" spans="8:10" x14ac:dyDescent="0.25">
      <c r="H104" s="4" t="s">
        <v>156</v>
      </c>
      <c r="I104" t="s">
        <v>486</v>
      </c>
      <c r="J104" t="s">
        <v>301</v>
      </c>
    </row>
    <row r="105" spans="8:10" x14ac:dyDescent="0.25">
      <c r="H105" s="4" t="s">
        <v>157</v>
      </c>
      <c r="I105" t="s">
        <v>487</v>
      </c>
      <c r="J105" t="s">
        <v>287</v>
      </c>
    </row>
    <row r="106" spans="8:10" x14ac:dyDescent="0.25">
      <c r="H106" s="5" t="s">
        <v>158</v>
      </c>
      <c r="I106" t="s">
        <v>488</v>
      </c>
      <c r="J106" t="s">
        <v>293</v>
      </c>
    </row>
    <row r="107" spans="8:10" x14ac:dyDescent="0.25">
      <c r="H107" s="5" t="s">
        <v>159</v>
      </c>
      <c r="I107" t="s">
        <v>489</v>
      </c>
      <c r="J107" t="s">
        <v>343</v>
      </c>
    </row>
    <row r="108" spans="8:10" x14ac:dyDescent="0.25">
      <c r="H108" s="4" t="s">
        <v>160</v>
      </c>
      <c r="I108" t="s">
        <v>490</v>
      </c>
      <c r="J108" t="s">
        <v>344</v>
      </c>
    </row>
    <row r="109" spans="8:10" x14ac:dyDescent="0.25">
      <c r="H109" s="4" t="s">
        <v>161</v>
      </c>
      <c r="I109" t="s">
        <v>491</v>
      </c>
      <c r="J109" t="s">
        <v>275</v>
      </c>
    </row>
    <row r="110" spans="8:10" x14ac:dyDescent="0.25">
      <c r="H110" s="4" t="s">
        <v>162</v>
      </c>
      <c r="I110" t="s">
        <v>492</v>
      </c>
      <c r="J110" t="s">
        <v>343</v>
      </c>
    </row>
    <row r="111" spans="8:10" x14ac:dyDescent="0.25">
      <c r="H111" s="5" t="s">
        <v>163</v>
      </c>
      <c r="I111" t="s">
        <v>493</v>
      </c>
      <c r="J111" t="s">
        <v>271</v>
      </c>
    </row>
    <row r="112" spans="8:10" x14ac:dyDescent="0.25">
      <c r="H112" s="5" t="s">
        <v>164</v>
      </c>
      <c r="I112" t="s">
        <v>494</v>
      </c>
      <c r="J112" t="s">
        <v>278</v>
      </c>
    </row>
    <row r="113" spans="8:10" x14ac:dyDescent="0.25">
      <c r="H113" s="4" t="s">
        <v>165</v>
      </c>
      <c r="I113" t="s">
        <v>495</v>
      </c>
      <c r="J113" t="s">
        <v>345</v>
      </c>
    </row>
    <row r="114" spans="8:10" x14ac:dyDescent="0.25">
      <c r="H114" s="5" t="s">
        <v>166</v>
      </c>
      <c r="I114" t="s">
        <v>496</v>
      </c>
      <c r="J114" t="s">
        <v>346</v>
      </c>
    </row>
    <row r="115" spans="8:10" x14ac:dyDescent="0.25">
      <c r="H115" s="5" t="s">
        <v>167</v>
      </c>
      <c r="I115" t="s">
        <v>497</v>
      </c>
      <c r="J115" t="s">
        <v>278</v>
      </c>
    </row>
    <row r="116" spans="8:10" x14ac:dyDescent="0.25">
      <c r="H116" s="4" t="s">
        <v>168</v>
      </c>
      <c r="I116" t="s">
        <v>498</v>
      </c>
      <c r="J116" t="s">
        <v>347</v>
      </c>
    </row>
    <row r="117" spans="8:10" x14ac:dyDescent="0.25">
      <c r="H117" s="4" t="s">
        <v>169</v>
      </c>
      <c r="I117" t="s">
        <v>499</v>
      </c>
      <c r="J117" t="s">
        <v>348</v>
      </c>
    </row>
    <row r="118" spans="8:10" x14ac:dyDescent="0.25">
      <c r="H118" s="5" t="s">
        <v>170</v>
      </c>
      <c r="I118" t="s">
        <v>500</v>
      </c>
      <c r="J118" t="s">
        <v>349</v>
      </c>
    </row>
    <row r="119" spans="8:10" x14ac:dyDescent="0.25">
      <c r="H119" s="5" t="s">
        <v>171</v>
      </c>
      <c r="I119" t="s">
        <v>500</v>
      </c>
      <c r="J119" t="s">
        <v>350</v>
      </c>
    </row>
    <row r="120" spans="8:10" x14ac:dyDescent="0.25">
      <c r="H120" s="4" t="s">
        <v>172</v>
      </c>
      <c r="I120" t="s">
        <v>500</v>
      </c>
      <c r="J120" t="s">
        <v>296</v>
      </c>
    </row>
    <row r="121" spans="8:10" x14ac:dyDescent="0.25">
      <c r="H121" s="5" t="s">
        <v>173</v>
      </c>
      <c r="I121" t="s">
        <v>501</v>
      </c>
      <c r="J121" t="s">
        <v>333</v>
      </c>
    </row>
    <row r="122" spans="8:10" x14ac:dyDescent="0.25">
      <c r="H122" s="5" t="s">
        <v>174</v>
      </c>
      <c r="I122" t="s">
        <v>502</v>
      </c>
      <c r="J122" t="s">
        <v>270</v>
      </c>
    </row>
    <row r="123" spans="8:10" x14ac:dyDescent="0.25">
      <c r="H123" s="4" t="s">
        <v>175</v>
      </c>
      <c r="I123" t="s">
        <v>502</v>
      </c>
      <c r="J123" t="s">
        <v>288</v>
      </c>
    </row>
    <row r="124" spans="8:10" x14ac:dyDescent="0.25">
      <c r="H124" s="5" t="s">
        <v>176</v>
      </c>
      <c r="I124" t="s">
        <v>503</v>
      </c>
      <c r="J124" t="s">
        <v>287</v>
      </c>
    </row>
    <row r="125" spans="8:10" x14ac:dyDescent="0.25">
      <c r="H125" s="5" t="s">
        <v>177</v>
      </c>
      <c r="I125" t="s">
        <v>504</v>
      </c>
      <c r="J125" t="s">
        <v>299</v>
      </c>
    </row>
    <row r="126" spans="8:10" x14ac:dyDescent="0.25">
      <c r="H126" s="4" t="s">
        <v>178</v>
      </c>
      <c r="I126" t="s">
        <v>504</v>
      </c>
      <c r="J126" t="s">
        <v>351</v>
      </c>
    </row>
    <row r="127" spans="8:10" x14ac:dyDescent="0.25">
      <c r="H127" s="4" t="s">
        <v>179</v>
      </c>
      <c r="I127" t="s">
        <v>505</v>
      </c>
      <c r="J127" t="s">
        <v>352</v>
      </c>
    </row>
    <row r="128" spans="8:10" x14ac:dyDescent="0.25">
      <c r="H128" s="4" t="s">
        <v>180</v>
      </c>
      <c r="I128" t="s">
        <v>506</v>
      </c>
      <c r="J128" t="s">
        <v>353</v>
      </c>
    </row>
    <row r="129" spans="8:10" x14ac:dyDescent="0.25">
      <c r="H129" s="4" t="s">
        <v>181</v>
      </c>
      <c r="I129" t="s">
        <v>507</v>
      </c>
      <c r="J129" t="s">
        <v>354</v>
      </c>
    </row>
    <row r="130" spans="8:10" x14ac:dyDescent="0.25">
      <c r="H130" s="5" t="s">
        <v>182</v>
      </c>
      <c r="I130" t="s">
        <v>507</v>
      </c>
      <c r="J130" t="s">
        <v>355</v>
      </c>
    </row>
    <row r="131" spans="8:10" x14ac:dyDescent="0.25">
      <c r="H131" s="5" t="s">
        <v>183</v>
      </c>
      <c r="I131" t="s">
        <v>508</v>
      </c>
      <c r="J131" t="s">
        <v>356</v>
      </c>
    </row>
    <row r="132" spans="8:10" x14ac:dyDescent="0.25">
      <c r="H132" s="4" t="s">
        <v>184</v>
      </c>
      <c r="I132" t="s">
        <v>508</v>
      </c>
      <c r="J132" t="s">
        <v>357</v>
      </c>
    </row>
    <row r="133" spans="8:10" x14ac:dyDescent="0.25">
      <c r="H133" s="5" t="s">
        <v>185</v>
      </c>
      <c r="I133" t="s">
        <v>509</v>
      </c>
      <c r="J133" t="s">
        <v>358</v>
      </c>
    </row>
    <row r="134" spans="8:10" x14ac:dyDescent="0.25">
      <c r="H134" s="5" t="s">
        <v>186</v>
      </c>
      <c r="I134" t="s">
        <v>510</v>
      </c>
      <c r="J134" t="s">
        <v>359</v>
      </c>
    </row>
    <row r="135" spans="8:10" x14ac:dyDescent="0.25">
      <c r="H135" s="4" t="s">
        <v>187</v>
      </c>
      <c r="I135" t="s">
        <v>511</v>
      </c>
      <c r="J135" t="s">
        <v>360</v>
      </c>
    </row>
    <row r="136" spans="8:10" x14ac:dyDescent="0.25">
      <c r="H136" s="5" t="s">
        <v>188</v>
      </c>
      <c r="I136" t="s">
        <v>512</v>
      </c>
      <c r="J136" t="s">
        <v>361</v>
      </c>
    </row>
    <row r="137" spans="8:10" x14ac:dyDescent="0.25">
      <c r="H137" s="4" t="s">
        <v>189</v>
      </c>
      <c r="I137" t="s">
        <v>513</v>
      </c>
      <c r="J137" t="s">
        <v>362</v>
      </c>
    </row>
    <row r="138" spans="8:10" x14ac:dyDescent="0.25">
      <c r="H138" s="4" t="s">
        <v>190</v>
      </c>
      <c r="I138" t="s">
        <v>514</v>
      </c>
      <c r="J138" t="s">
        <v>363</v>
      </c>
    </row>
    <row r="139" spans="8:10" x14ac:dyDescent="0.25">
      <c r="H139" s="4" t="s">
        <v>191</v>
      </c>
      <c r="I139" t="s">
        <v>515</v>
      </c>
      <c r="J139" t="s">
        <v>289</v>
      </c>
    </row>
    <row r="140" spans="8:10" x14ac:dyDescent="0.25">
      <c r="H140" s="4" t="s">
        <v>192</v>
      </c>
      <c r="I140" t="s">
        <v>516</v>
      </c>
      <c r="J140" t="s">
        <v>364</v>
      </c>
    </row>
    <row r="141" spans="8:10" x14ac:dyDescent="0.25">
      <c r="H141" s="4" t="s">
        <v>193</v>
      </c>
      <c r="I141" t="s">
        <v>517</v>
      </c>
      <c r="J141" t="s">
        <v>365</v>
      </c>
    </row>
    <row r="142" spans="8:10" x14ac:dyDescent="0.25">
      <c r="H142" s="4" t="s">
        <v>194</v>
      </c>
      <c r="I142" t="s">
        <v>518</v>
      </c>
      <c r="J142" t="s">
        <v>366</v>
      </c>
    </row>
    <row r="143" spans="8:10" x14ac:dyDescent="0.25">
      <c r="H143" s="5" t="s">
        <v>195</v>
      </c>
      <c r="I143" t="s">
        <v>519</v>
      </c>
      <c r="J143" t="s">
        <v>367</v>
      </c>
    </row>
    <row r="144" spans="8:10" x14ac:dyDescent="0.25">
      <c r="H144" s="5" t="s">
        <v>196</v>
      </c>
      <c r="I144" t="s">
        <v>519</v>
      </c>
      <c r="J144" t="s">
        <v>368</v>
      </c>
    </row>
    <row r="145" spans="8:10" x14ac:dyDescent="0.25">
      <c r="H145" s="4" t="s">
        <v>197</v>
      </c>
      <c r="I145" t="s">
        <v>520</v>
      </c>
      <c r="J145" t="s">
        <v>369</v>
      </c>
    </row>
    <row r="146" spans="8:10" x14ac:dyDescent="0.25">
      <c r="H146" s="4" t="s">
        <v>198</v>
      </c>
      <c r="I146" t="s">
        <v>521</v>
      </c>
      <c r="J146" t="s">
        <v>370</v>
      </c>
    </row>
    <row r="147" spans="8:10" x14ac:dyDescent="0.25">
      <c r="H147" s="4" t="s">
        <v>199</v>
      </c>
      <c r="I147" t="s">
        <v>521</v>
      </c>
      <c r="J147" t="s">
        <v>371</v>
      </c>
    </row>
    <row r="148" spans="8:10" x14ac:dyDescent="0.25">
      <c r="H148" s="4" t="s">
        <v>200</v>
      </c>
      <c r="I148" t="s">
        <v>522</v>
      </c>
      <c r="J148" t="s">
        <v>372</v>
      </c>
    </row>
    <row r="149" spans="8:10" x14ac:dyDescent="0.25">
      <c r="H149" s="4" t="s">
        <v>201</v>
      </c>
      <c r="I149" t="s">
        <v>522</v>
      </c>
      <c r="J149" t="s">
        <v>328</v>
      </c>
    </row>
    <row r="150" spans="8:10" x14ac:dyDescent="0.25">
      <c r="H150" s="5" t="s">
        <v>202</v>
      </c>
      <c r="I150" t="s">
        <v>276</v>
      </c>
      <c r="J150" t="s">
        <v>289</v>
      </c>
    </row>
    <row r="151" spans="8:10" x14ac:dyDescent="0.25">
      <c r="H151" s="5" t="s">
        <v>203</v>
      </c>
      <c r="I151" t="s">
        <v>523</v>
      </c>
      <c r="J151" t="s">
        <v>333</v>
      </c>
    </row>
    <row r="152" spans="8:10" x14ac:dyDescent="0.25">
      <c r="H152" s="5" t="s">
        <v>204</v>
      </c>
      <c r="I152" t="s">
        <v>524</v>
      </c>
      <c r="J152" t="s">
        <v>14</v>
      </c>
    </row>
    <row r="153" spans="8:10" x14ac:dyDescent="0.25">
      <c r="H153" s="4" t="s">
        <v>205</v>
      </c>
      <c r="I153" t="s">
        <v>525</v>
      </c>
      <c r="J153" t="s">
        <v>275</v>
      </c>
    </row>
    <row r="154" spans="8:10" x14ac:dyDescent="0.25">
      <c r="H154" s="5" t="s">
        <v>206</v>
      </c>
      <c r="I154" t="s">
        <v>525</v>
      </c>
      <c r="J154" t="s">
        <v>373</v>
      </c>
    </row>
    <row r="155" spans="8:10" x14ac:dyDescent="0.25">
      <c r="H155" s="4" t="s">
        <v>207</v>
      </c>
      <c r="I155" t="s">
        <v>526</v>
      </c>
      <c r="J155" t="s">
        <v>267</v>
      </c>
    </row>
    <row r="156" spans="8:10" x14ac:dyDescent="0.25">
      <c r="H156" s="5" t="s">
        <v>208</v>
      </c>
      <c r="I156" t="s">
        <v>527</v>
      </c>
      <c r="J156" t="s">
        <v>374</v>
      </c>
    </row>
    <row r="157" spans="8:10" x14ac:dyDescent="0.25">
      <c r="H157" s="4" t="s">
        <v>209</v>
      </c>
      <c r="I157" t="s">
        <v>528</v>
      </c>
      <c r="J157" t="s">
        <v>375</v>
      </c>
    </row>
    <row r="158" spans="8:10" x14ac:dyDescent="0.25">
      <c r="H158" s="4" t="s">
        <v>210</v>
      </c>
      <c r="I158" t="s">
        <v>528</v>
      </c>
      <c r="J158" t="s">
        <v>376</v>
      </c>
    </row>
    <row r="159" spans="8:10" x14ac:dyDescent="0.25">
      <c r="H159" s="4" t="s">
        <v>211</v>
      </c>
      <c r="I159" t="s">
        <v>529</v>
      </c>
      <c r="J159" t="s">
        <v>285</v>
      </c>
    </row>
    <row r="160" spans="8:10" x14ac:dyDescent="0.25">
      <c r="H160" s="5" t="s">
        <v>212</v>
      </c>
      <c r="I160" t="s">
        <v>530</v>
      </c>
      <c r="J160" t="s">
        <v>342</v>
      </c>
    </row>
    <row r="161" spans="8:10" x14ac:dyDescent="0.25">
      <c r="H161" s="5" t="s">
        <v>213</v>
      </c>
      <c r="I161" t="s">
        <v>531</v>
      </c>
      <c r="J161" t="s">
        <v>349</v>
      </c>
    </row>
    <row r="162" spans="8:10" x14ac:dyDescent="0.25">
      <c r="H162" s="5" t="s">
        <v>214</v>
      </c>
      <c r="I162" t="s">
        <v>532</v>
      </c>
      <c r="J162" t="s">
        <v>377</v>
      </c>
    </row>
    <row r="163" spans="8:10" x14ac:dyDescent="0.25">
      <c r="H163" s="5" t="s">
        <v>215</v>
      </c>
      <c r="I163" t="s">
        <v>533</v>
      </c>
      <c r="J163" t="s">
        <v>378</v>
      </c>
    </row>
    <row r="164" spans="8:10" x14ac:dyDescent="0.25">
      <c r="H164" s="4" t="s">
        <v>216</v>
      </c>
      <c r="I164" t="s">
        <v>534</v>
      </c>
      <c r="J164" t="s">
        <v>285</v>
      </c>
    </row>
    <row r="165" spans="8:10" x14ac:dyDescent="0.25">
      <c r="H165" s="4" t="s">
        <v>217</v>
      </c>
      <c r="I165" t="s">
        <v>535</v>
      </c>
      <c r="J165" t="s">
        <v>286</v>
      </c>
    </row>
    <row r="166" spans="8:10" x14ac:dyDescent="0.25">
      <c r="H166" s="5" t="s">
        <v>218</v>
      </c>
      <c r="I166" t="s">
        <v>536</v>
      </c>
      <c r="J166" t="s">
        <v>333</v>
      </c>
    </row>
    <row r="167" spans="8:10" x14ac:dyDescent="0.25">
      <c r="H167" s="4" t="s">
        <v>219</v>
      </c>
      <c r="I167" t="s">
        <v>537</v>
      </c>
      <c r="J167" t="s">
        <v>348</v>
      </c>
    </row>
    <row r="168" spans="8:10" x14ac:dyDescent="0.25">
      <c r="H168" s="5" t="s">
        <v>220</v>
      </c>
      <c r="I168" t="s">
        <v>538</v>
      </c>
      <c r="J168" t="s">
        <v>7</v>
      </c>
    </row>
    <row r="169" spans="8:10" x14ac:dyDescent="0.25">
      <c r="H169" s="4" t="s">
        <v>221</v>
      </c>
      <c r="I169" t="s">
        <v>539</v>
      </c>
      <c r="J169" t="s">
        <v>378</v>
      </c>
    </row>
    <row r="170" spans="8:10" x14ac:dyDescent="0.25">
      <c r="H170" s="4" t="s">
        <v>222</v>
      </c>
      <c r="I170" t="s">
        <v>540</v>
      </c>
      <c r="J170" t="s">
        <v>298</v>
      </c>
    </row>
    <row r="171" spans="8:10" x14ac:dyDescent="0.25">
      <c r="H171" s="4" t="s">
        <v>223</v>
      </c>
      <c r="I171" t="s">
        <v>541</v>
      </c>
      <c r="J171" t="s">
        <v>379</v>
      </c>
    </row>
    <row r="172" spans="8:10" x14ac:dyDescent="0.25">
      <c r="H172" s="5" t="s">
        <v>224</v>
      </c>
      <c r="I172" t="s">
        <v>542</v>
      </c>
      <c r="J172" t="s">
        <v>369</v>
      </c>
    </row>
    <row r="173" spans="8:10" x14ac:dyDescent="0.25">
      <c r="H173" s="5" t="s">
        <v>225</v>
      </c>
      <c r="I173" t="s">
        <v>543</v>
      </c>
      <c r="J173" t="s">
        <v>275</v>
      </c>
    </row>
    <row r="174" spans="8:10" x14ac:dyDescent="0.25">
      <c r="H174" s="4" t="s">
        <v>226</v>
      </c>
      <c r="I174" t="s">
        <v>544</v>
      </c>
      <c r="J174" t="s">
        <v>380</v>
      </c>
    </row>
    <row r="175" spans="8:10" x14ac:dyDescent="0.25">
      <c r="H175" s="5" t="s">
        <v>227</v>
      </c>
      <c r="I175" t="s">
        <v>545</v>
      </c>
      <c r="J175" t="s">
        <v>275</v>
      </c>
    </row>
    <row r="176" spans="8:10" x14ac:dyDescent="0.25">
      <c r="H176" s="4" t="s">
        <v>228</v>
      </c>
      <c r="I176" t="s">
        <v>546</v>
      </c>
      <c r="J176" t="s">
        <v>13</v>
      </c>
    </row>
    <row r="177" spans="8:10" x14ac:dyDescent="0.25">
      <c r="H177" s="5" t="s">
        <v>229</v>
      </c>
      <c r="I177" t="s">
        <v>547</v>
      </c>
      <c r="J177" t="s">
        <v>328</v>
      </c>
    </row>
    <row r="178" spans="8:10" x14ac:dyDescent="0.25">
      <c r="H178" s="5" t="s">
        <v>230</v>
      </c>
      <c r="I178" t="s">
        <v>548</v>
      </c>
      <c r="J178" t="s">
        <v>315</v>
      </c>
    </row>
    <row r="179" spans="8:10" x14ac:dyDescent="0.25">
      <c r="H179" s="5" t="s">
        <v>231</v>
      </c>
      <c r="I179" t="s">
        <v>549</v>
      </c>
      <c r="J179" t="s">
        <v>341</v>
      </c>
    </row>
    <row r="180" spans="8:10" x14ac:dyDescent="0.25">
      <c r="H180" s="4" t="s">
        <v>232</v>
      </c>
      <c r="I180" t="s">
        <v>550</v>
      </c>
      <c r="J180" t="s">
        <v>289</v>
      </c>
    </row>
    <row r="181" spans="8:10" x14ac:dyDescent="0.25">
      <c r="H181" s="4" t="s">
        <v>233</v>
      </c>
      <c r="I181" t="s">
        <v>551</v>
      </c>
      <c r="J181" t="s">
        <v>367</v>
      </c>
    </row>
    <row r="182" spans="8:10" x14ac:dyDescent="0.25">
      <c r="H182" s="5" t="s">
        <v>234</v>
      </c>
      <c r="I182" t="s">
        <v>551</v>
      </c>
      <c r="J182" t="s">
        <v>350</v>
      </c>
    </row>
    <row r="183" spans="8:10" x14ac:dyDescent="0.25">
      <c r="H183" s="4" t="s">
        <v>235</v>
      </c>
      <c r="I183" t="s">
        <v>551</v>
      </c>
      <c r="J183" t="s">
        <v>13</v>
      </c>
    </row>
    <row r="184" spans="8:10" x14ac:dyDescent="0.25">
      <c r="H184" s="4" t="s">
        <v>236</v>
      </c>
      <c r="I184" t="s">
        <v>551</v>
      </c>
      <c r="J184" t="s">
        <v>368</v>
      </c>
    </row>
    <row r="185" spans="8:10" x14ac:dyDescent="0.25">
      <c r="H185" s="4" t="s">
        <v>237</v>
      </c>
      <c r="I185" t="s">
        <v>552</v>
      </c>
      <c r="J185" t="s">
        <v>381</v>
      </c>
    </row>
    <row r="186" spans="8:10" x14ac:dyDescent="0.25">
      <c r="H186" s="4" t="s">
        <v>238</v>
      </c>
      <c r="I186" t="s">
        <v>553</v>
      </c>
      <c r="J186" t="s">
        <v>382</v>
      </c>
    </row>
    <row r="187" spans="8:10" x14ac:dyDescent="0.25">
      <c r="H187" s="4" t="s">
        <v>239</v>
      </c>
      <c r="I187" t="s">
        <v>554</v>
      </c>
      <c r="J187" t="s">
        <v>383</v>
      </c>
    </row>
    <row r="188" spans="8:10" x14ac:dyDescent="0.25">
      <c r="H188" s="4" t="s">
        <v>240</v>
      </c>
      <c r="I188" t="s">
        <v>555</v>
      </c>
      <c r="J188" t="s">
        <v>298</v>
      </c>
    </row>
    <row r="189" spans="8:10" x14ac:dyDescent="0.25">
      <c r="H189" s="4" t="s">
        <v>241</v>
      </c>
      <c r="I189" t="s">
        <v>556</v>
      </c>
      <c r="J189" t="s">
        <v>384</v>
      </c>
    </row>
    <row r="190" spans="8:10" x14ac:dyDescent="0.25">
      <c r="H190" s="5" t="s">
        <v>242</v>
      </c>
      <c r="I190" t="s">
        <v>557</v>
      </c>
      <c r="J190" t="s">
        <v>385</v>
      </c>
    </row>
    <row r="191" spans="8:10" x14ac:dyDescent="0.25">
      <c r="H191" s="4" t="s">
        <v>243</v>
      </c>
      <c r="I191" t="s">
        <v>558</v>
      </c>
      <c r="J191" t="s">
        <v>386</v>
      </c>
    </row>
    <row r="192" spans="8:10" x14ac:dyDescent="0.25">
      <c r="H192" s="4" t="s">
        <v>244</v>
      </c>
      <c r="I192" t="s">
        <v>559</v>
      </c>
      <c r="J192" t="s">
        <v>287</v>
      </c>
    </row>
    <row r="193" spans="8:10" x14ac:dyDescent="0.25">
      <c r="H193" s="5" t="s">
        <v>245</v>
      </c>
      <c r="I193" t="s">
        <v>560</v>
      </c>
      <c r="J193" t="s">
        <v>387</v>
      </c>
    </row>
    <row r="194" spans="8:10" x14ac:dyDescent="0.25">
      <c r="H194" s="4" t="s">
        <v>246</v>
      </c>
      <c r="I194" t="s">
        <v>561</v>
      </c>
      <c r="J194" t="s">
        <v>388</v>
      </c>
    </row>
    <row r="195" spans="8:10" x14ac:dyDescent="0.25">
      <c r="H195" s="4" t="s">
        <v>247</v>
      </c>
      <c r="I195" t="s">
        <v>562</v>
      </c>
      <c r="J195" t="s">
        <v>331</v>
      </c>
    </row>
    <row r="196" spans="8:10" x14ac:dyDescent="0.25">
      <c r="H196" s="4" t="s">
        <v>248</v>
      </c>
      <c r="I196" t="s">
        <v>563</v>
      </c>
      <c r="J196" t="s">
        <v>373</v>
      </c>
    </row>
    <row r="197" spans="8:10" x14ac:dyDescent="0.25">
      <c r="H197" s="4" t="s">
        <v>249</v>
      </c>
      <c r="I197" t="s">
        <v>563</v>
      </c>
      <c r="J197" t="s">
        <v>282</v>
      </c>
    </row>
    <row r="198" spans="8:10" x14ac:dyDescent="0.25">
      <c r="H198" s="4" t="s">
        <v>250</v>
      </c>
      <c r="I198" t="s">
        <v>563</v>
      </c>
      <c r="J198" t="s">
        <v>379</v>
      </c>
    </row>
    <row r="199" spans="8:10" x14ac:dyDescent="0.25">
      <c r="H199" s="5" t="s">
        <v>251</v>
      </c>
      <c r="I199" t="s">
        <v>564</v>
      </c>
      <c r="J199" t="s">
        <v>8</v>
      </c>
    </row>
    <row r="200" spans="8:10" x14ac:dyDescent="0.25">
      <c r="H200" s="5" t="s">
        <v>252</v>
      </c>
      <c r="I200" t="s">
        <v>565</v>
      </c>
      <c r="J200" t="s">
        <v>290</v>
      </c>
    </row>
    <row r="201" spans="8:10" x14ac:dyDescent="0.25">
      <c r="H201" s="4" t="s">
        <v>253</v>
      </c>
      <c r="I201" t="s">
        <v>565</v>
      </c>
      <c r="J201" t="s">
        <v>379</v>
      </c>
    </row>
    <row r="202" spans="8:10" x14ac:dyDescent="0.25">
      <c r="H202" s="4" t="s">
        <v>254</v>
      </c>
      <c r="I202" t="s">
        <v>566</v>
      </c>
      <c r="J202" t="s">
        <v>389</v>
      </c>
    </row>
    <row r="203" spans="8:10" x14ac:dyDescent="0.25">
      <c r="H203" s="4" t="s">
        <v>255</v>
      </c>
      <c r="I203" t="s">
        <v>567</v>
      </c>
      <c r="J203" t="s">
        <v>312</v>
      </c>
    </row>
    <row r="204" spans="8:10" x14ac:dyDescent="0.25">
      <c r="H204" s="5" t="s">
        <v>256</v>
      </c>
      <c r="I204" t="s">
        <v>568</v>
      </c>
      <c r="J204" t="s">
        <v>390</v>
      </c>
    </row>
    <row r="205" spans="8:10" x14ac:dyDescent="0.25">
      <c r="H205" s="4" t="s">
        <v>257</v>
      </c>
      <c r="I205" t="s">
        <v>569</v>
      </c>
      <c r="J205" t="s">
        <v>287</v>
      </c>
    </row>
    <row r="206" spans="8:10" x14ac:dyDescent="0.25">
      <c r="H206" s="5" t="s">
        <v>258</v>
      </c>
      <c r="I206" t="s">
        <v>570</v>
      </c>
      <c r="J206" t="s">
        <v>32</v>
      </c>
    </row>
    <row r="207" spans="8:10" x14ac:dyDescent="0.25">
      <c r="H207" s="4" t="s">
        <v>259</v>
      </c>
      <c r="I207" t="s">
        <v>571</v>
      </c>
      <c r="J207" t="s">
        <v>391</v>
      </c>
    </row>
    <row r="208" spans="8:10" x14ac:dyDescent="0.25">
      <c r="H208" s="5" t="s">
        <v>260</v>
      </c>
      <c r="I208" t="s">
        <v>572</v>
      </c>
      <c r="J208" t="s">
        <v>343</v>
      </c>
    </row>
    <row r="209" spans="8:10" x14ac:dyDescent="0.25">
      <c r="H209" s="5" t="s">
        <v>261</v>
      </c>
      <c r="I209" t="s">
        <v>573</v>
      </c>
      <c r="J209" t="s">
        <v>14</v>
      </c>
    </row>
    <row r="210" spans="8:10" x14ac:dyDescent="0.25">
      <c r="H210" s="4" t="s">
        <v>262</v>
      </c>
      <c r="I210" t="s">
        <v>574</v>
      </c>
      <c r="J210" t="s">
        <v>365</v>
      </c>
    </row>
    <row r="211" spans="8:10" x14ac:dyDescent="0.25">
      <c r="H211" s="4" t="s">
        <v>263</v>
      </c>
      <c r="I211" t="s">
        <v>575</v>
      </c>
      <c r="J211" t="s">
        <v>352</v>
      </c>
    </row>
    <row r="212" spans="8:10" x14ac:dyDescent="0.25">
      <c r="H212" s="4" t="s">
        <v>264</v>
      </c>
      <c r="I212" t="s">
        <v>576</v>
      </c>
      <c r="J212" t="s">
        <v>392</v>
      </c>
    </row>
    <row r="213" spans="8:10" x14ac:dyDescent="0.25">
      <c r="H213" s="5" t="s">
        <v>265</v>
      </c>
      <c r="I213" t="s">
        <v>577</v>
      </c>
      <c r="J213" t="s">
        <v>282</v>
      </c>
    </row>
    <row r="214" spans="8:10" x14ac:dyDescent="0.25">
      <c r="H214" s="6" t="s">
        <v>266</v>
      </c>
      <c r="I214" t="s">
        <v>578</v>
      </c>
      <c r="J214" t="s">
        <v>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6D5A-EE0B-49A4-B29F-C3A6A75BAEBC}">
  <dimension ref="B1:G8"/>
  <sheetViews>
    <sheetView workbookViewId="0">
      <selection activeCell="G15" sqref="G15"/>
    </sheetView>
  </sheetViews>
  <sheetFormatPr baseColWidth="10" defaultRowHeight="15" x14ac:dyDescent="0.25"/>
  <cols>
    <col min="1" max="1" width="22.28515625" style="1" customWidth="1"/>
    <col min="2" max="2" width="20.140625" style="1" customWidth="1"/>
    <col min="3" max="4" width="11.42578125" style="1"/>
    <col min="5" max="5" width="17.7109375" style="1" customWidth="1"/>
    <col min="6" max="6" width="11.42578125" style="1"/>
    <col min="7" max="7" width="19.85546875" style="1" customWidth="1"/>
    <col min="8" max="16384" width="11.42578125" style="1"/>
  </cols>
  <sheetData>
    <row r="1" spans="2:7" ht="15.75" thickBot="1" x14ac:dyDescent="0.3"/>
    <row r="2" spans="2:7" x14ac:dyDescent="0.25">
      <c r="B2" s="2" t="s">
        <v>18</v>
      </c>
      <c r="E2" s="1" t="s">
        <v>31</v>
      </c>
      <c r="G2" s="1" t="s">
        <v>34</v>
      </c>
    </row>
    <row r="3" spans="2:7" ht="15.75" thickBot="1" x14ac:dyDescent="0.3">
      <c r="B3" s="3">
        <f ca="1">TODAY()</f>
        <v>46065</v>
      </c>
      <c r="E3" s="1" t="s">
        <v>11</v>
      </c>
      <c r="G3" s="1" t="s">
        <v>35</v>
      </c>
    </row>
    <row r="4" spans="2:7" x14ac:dyDescent="0.25">
      <c r="E4" s="1" t="s">
        <v>10</v>
      </c>
      <c r="G4" s="1" t="s">
        <v>33</v>
      </c>
    </row>
    <row r="5" spans="2:7" x14ac:dyDescent="0.25">
      <c r="E5" s="1" t="s">
        <v>12</v>
      </c>
      <c r="G5" s="1" t="s">
        <v>30</v>
      </c>
    </row>
    <row r="6" spans="2:7" x14ac:dyDescent="0.25">
      <c r="G6" s="1" t="s">
        <v>36</v>
      </c>
    </row>
    <row r="7" spans="2:7" x14ac:dyDescent="0.25">
      <c r="G7" s="1" t="s">
        <v>37</v>
      </c>
    </row>
    <row r="8" spans="2:7" x14ac:dyDescent="0.25">
      <c r="G8" s="1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64902a-104a-4642-a461-a3d9eb3752f4}" enabled="1" method="Standard" siteId="{be0be093-a2ad-444c-93d9-5626e83beef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Liste</vt:lpstr>
      <vt:lpstr>Feuil2</vt:lpstr>
      <vt:lpstr>Autonome</vt:lpstr>
      <vt:lpstr>Agence</vt:lpstr>
      <vt:lpstr>Agences</vt:lpstr>
      <vt:lpstr>Qualifications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CAYRAC, Alex (THUIR )</dc:creator>
  <cp:lastModifiedBy>CAYRAC, Alex (THUIR )</cp:lastModifiedBy>
  <dcterms:created xsi:type="dcterms:W3CDTF">2015-06-05T18:17:20Z</dcterms:created>
  <dcterms:modified xsi:type="dcterms:W3CDTF">2026-02-12T14:40:48Z</dcterms:modified>
</cp:coreProperties>
</file>